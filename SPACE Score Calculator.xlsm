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less\Downloads\Subtyping-PA-master (1)\Subtyping-PA-master\"/>
    </mc:Choice>
  </mc:AlternateContent>
  <xr:revisionPtr revIDLastSave="0" documentId="13_ncr:1_{060019EE-F512-4883-86D7-36E71A4F8AEA}" xr6:coauthVersionLast="45" xr6:coauthVersionMax="45" xr10:uidLastSave="{00000000-0000-0000-0000-000000000000}"/>
  <bookViews>
    <workbookView xWindow="-96" yWindow="-96" windowWidth="23232" windowHeight="12552" xr2:uid="{A0EB1F24-04BA-E740-8D59-2D86D979B9E3}"/>
  </bookViews>
  <sheets>
    <sheet name="Score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1" l="1"/>
  <c r="H9" i="1"/>
  <c r="H24" i="1" l="1"/>
  <c r="H17" i="1" l="1"/>
  <c r="H20" i="1"/>
  <c r="H13" i="1"/>
  <c r="K6" i="1" l="1"/>
  <c r="K24" i="1" l="1"/>
  <c r="K25" i="1"/>
</calcChain>
</file>

<file path=xl/sharedStrings.xml><?xml version="1.0" encoding="utf-8"?>
<sst xmlns="http://schemas.openxmlformats.org/spreadsheetml/2006/main" count="80" uniqueCount="75">
  <si>
    <t>Points</t>
  </si>
  <si>
    <t>Variable</t>
  </si>
  <si>
    <t>Category</t>
  </si>
  <si>
    <t>Patient Data</t>
  </si>
  <si>
    <t>Score</t>
  </si>
  <si>
    <t>1.5</t>
  </si>
  <si>
    <t>0.5</t>
  </si>
  <si>
    <t>(A)</t>
  </si>
  <si>
    <t>Percentage Distribution</t>
  </si>
  <si>
    <t>(B)</t>
  </si>
  <si>
    <t>(diameter, mm)</t>
  </si>
  <si>
    <t xml:space="preserve">(C) </t>
  </si>
  <si>
    <t>Aldosterone at screening</t>
  </si>
  <si>
    <t>(ng/dL)</t>
  </si>
  <si>
    <t>Lowest Potassium</t>
  </si>
  <si>
    <t>(mEq/L)</t>
  </si>
  <si>
    <t>Aldosterone post-confirmatory test</t>
  </si>
  <si>
    <t>(presence)</t>
  </si>
  <si>
    <t>Nodule at CT scanning</t>
  </si>
  <si>
    <t>Largest nodule at CT scanning</t>
  </si>
  <si>
    <t>CT descriptive findings</t>
  </si>
  <si>
    <t>&lt;/= 25.0</t>
  </si>
  <si>
    <t>&gt; 25.0</t>
  </si>
  <si>
    <t>&lt; 3.4</t>
  </si>
  <si>
    <t>3.4-3.9</t>
  </si>
  <si>
    <t>&gt;/= 4.0</t>
  </si>
  <si>
    <t>&lt;/= 15.0</t>
  </si>
  <si>
    <t>15.1-19.9</t>
  </si>
  <si>
    <t>&gt;/= 20.0</t>
  </si>
  <si>
    <t>&lt;/= 10</t>
  </si>
  <si>
    <t>11-30</t>
  </si>
  <si>
    <t>&gt; 30</t>
  </si>
  <si>
    <t>4.5</t>
  </si>
  <si>
    <t>6.5</t>
  </si>
  <si>
    <t>Unilateral PA</t>
  </si>
  <si>
    <t>Bilateral PA</t>
  </si>
  <si>
    <t>Insert patient data in highlighted column for each category; attention: units must be</t>
  </si>
  <si>
    <t>Click "Reset" before entering data for the next patient;</t>
  </si>
  <si>
    <t>0.0-1.0</t>
  </si>
  <si>
    <t>1.1-2.0</t>
  </si>
  <si>
    <t>2.1-3.0</t>
  </si>
  <si>
    <t>3.1-4.0</t>
  </si>
  <si>
    <t>4.1-5.0</t>
  </si>
  <si>
    <t>5.1-6.0</t>
  </si>
  <si>
    <t>6.1-7.0</t>
  </si>
  <si>
    <t>7.1-8.0</t>
  </si>
  <si>
    <t>8.1-9.0</t>
  </si>
  <si>
    <t>9.1-10.0</t>
  </si>
  <si>
    <t>10.1-11.0</t>
  </si>
  <si>
    <t>11.1-12.0</t>
  </si>
  <si>
    <t>12.1-13.0</t>
  </si>
  <si>
    <t>13.1-14.0</t>
  </si>
  <si>
    <t>14.1-15.0</t>
  </si>
  <si>
    <t>15.1-16.0</t>
  </si>
  <si>
    <t>16.1-17.0</t>
  </si>
  <si>
    <t>17.1-18.0</t>
  </si>
  <si>
    <t>18.1-19.0</t>
  </si>
  <si>
    <t>19.1-20.0</t>
  </si>
  <si>
    <t>Indication</t>
  </si>
  <si>
    <t>Cut-offs</t>
  </si>
  <si>
    <t xml:space="preserve">8.5-16 - Perform AVS </t>
  </si>
  <si>
    <t>&lt;/= 8 - Probable Bilateral PA</t>
  </si>
  <si>
    <t>&gt; 16 - Probable Unilateral PA</t>
  </si>
  <si>
    <t>Yes (Y)</t>
  </si>
  <si>
    <t>No (N)</t>
  </si>
  <si>
    <t>Bilaterally Normal (BN)</t>
  </si>
  <si>
    <t>Bilaterally Abnormal (BA)</t>
  </si>
  <si>
    <t>Unilateral Abnormality (UA)</t>
  </si>
  <si>
    <r>
      <t>in accordance with those specified; nodule at CT scanning must be entered as Y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</t>
    </r>
  </si>
  <si>
    <r>
      <t xml:space="preserve"> or N (No); CT scanning findings must be entered as </t>
    </r>
    <r>
      <rPr>
        <b/>
        <sz val="12"/>
        <color theme="1"/>
        <rFont val="Calibri"/>
        <family val="2"/>
        <scheme val="minor"/>
      </rPr>
      <t>BN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bilaterally normal</t>
    </r>
    <r>
      <rPr>
        <sz val="12"/>
        <color theme="1"/>
        <rFont val="Calibri"/>
        <family val="2"/>
        <scheme val="minor"/>
      </rPr>
      <t xml:space="preserve">), or </t>
    </r>
    <r>
      <rPr>
        <b/>
        <sz val="12"/>
        <color theme="1"/>
        <rFont val="Calibri"/>
        <family val="2"/>
        <scheme val="minor"/>
      </rPr>
      <t>BA</t>
    </r>
    <r>
      <rPr>
        <sz val="12"/>
        <color theme="1"/>
        <rFont val="Calibri"/>
        <family val="2"/>
        <scheme val="minor"/>
      </rPr>
      <t xml:space="preserve"> </t>
    </r>
  </si>
  <si>
    <r>
      <rPr>
        <b/>
        <sz val="12"/>
        <color theme="1"/>
        <rFont val="Calibri"/>
        <family val="2"/>
        <scheme val="minor"/>
      </rPr>
      <t>(bilaterally normal)</t>
    </r>
    <r>
      <rPr>
        <sz val="12"/>
        <color theme="1"/>
        <rFont val="Calibri"/>
        <family val="2"/>
        <scheme val="minor"/>
      </rPr>
      <t xml:space="preserve">, or </t>
    </r>
    <r>
      <rPr>
        <b/>
        <sz val="12"/>
        <color theme="1"/>
        <rFont val="Calibri"/>
        <family val="2"/>
        <scheme val="minor"/>
      </rPr>
      <t>UA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unilateral abnormality</t>
    </r>
    <r>
      <rPr>
        <sz val="12"/>
        <color theme="1"/>
        <rFont val="Calibri"/>
        <family val="2"/>
        <scheme val="minor"/>
      </rPr>
      <t xml:space="preserve">). If no nodules are present at CT </t>
    </r>
  </si>
  <si>
    <r>
      <t>scanning, type "</t>
    </r>
    <r>
      <rPr>
        <b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>" as nodule diameter.</t>
    </r>
  </si>
  <si>
    <t xml:space="preserve">Click "Calculate" to obtain score, predicted diagnosis and the percentage distribution </t>
  </si>
  <si>
    <t>(this is the proportion of patients for each diagnosis with the resulting score);</t>
  </si>
  <si>
    <t>SPACE Score Calculator for PA subtype diagnosis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</si>
</sst>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5" fillId="2" borderId="0" xfId="0" applyFont="1" applyFill="1"/>
    <xf numFmtId="0" fontId="0" fillId="2" borderId="0" xfId="0" applyFill="1" applyAlignment="1" applyProtection="1">
      <alignment vertical="center"/>
      <protection locked="0"/>
    </xf>
    <xf numFmtId="0" fontId="4" fillId="2" borderId="0" xfId="1" applyFill="1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4" borderId="21" xfId="0" applyFill="1" applyBorder="1" applyAlignment="1">
      <alignment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16" xfId="0" applyFill="1" applyBorder="1" applyAlignment="1">
      <alignment vertical="center"/>
    </xf>
    <xf numFmtId="0" fontId="2" fillId="5" borderId="22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2" fontId="8" fillId="2" borderId="0" xfId="0" applyNumberFormat="1" applyFont="1" applyFill="1" applyAlignment="1" applyProtection="1">
      <alignment vertical="center"/>
      <protection locked="0"/>
    </xf>
    <xf numFmtId="0" fontId="0" fillId="5" borderId="31" xfId="0" applyFill="1" applyBorder="1" applyAlignment="1">
      <alignment horizontal="center" vertical="center"/>
    </xf>
    <xf numFmtId="0" fontId="0" fillId="2" borderId="37" xfId="0" applyFill="1" applyBorder="1" applyAlignment="1">
      <alignment vertical="center"/>
    </xf>
    <xf numFmtId="0" fontId="0" fillId="2" borderId="38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38" xfId="0" applyFill="1" applyBorder="1" applyAlignment="1" applyProtection="1">
      <alignment vertical="center"/>
      <protection locked="0"/>
    </xf>
    <xf numFmtId="0" fontId="0" fillId="2" borderId="39" xfId="0" applyFill="1" applyBorder="1" applyAlignment="1">
      <alignment vertical="center"/>
    </xf>
    <xf numFmtId="0" fontId="0" fillId="4" borderId="21" xfId="0" applyFill="1" applyBorder="1" applyAlignment="1">
      <alignment vertical="top"/>
    </xf>
    <xf numFmtId="0" fontId="0" fillId="4" borderId="16" xfId="0" applyFont="1" applyFill="1" applyBorder="1" applyAlignment="1">
      <alignment horizontal="left" vertical="top"/>
    </xf>
    <xf numFmtId="0" fontId="0" fillId="4" borderId="16" xfId="0" applyFill="1" applyBorder="1" applyAlignment="1">
      <alignment vertical="top"/>
    </xf>
    <xf numFmtId="0" fontId="8" fillId="4" borderId="11" xfId="0" applyFont="1" applyFill="1" applyBorder="1" applyAlignment="1"/>
    <xf numFmtId="0" fontId="0" fillId="4" borderId="16" xfId="0" applyFont="1" applyFill="1" applyBorder="1" applyAlignment="1">
      <alignment vertical="top"/>
    </xf>
    <xf numFmtId="0" fontId="2" fillId="6" borderId="40" xfId="0" applyFont="1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0" fontId="0" fillId="2" borderId="42" xfId="0" applyFill="1" applyBorder="1" applyAlignment="1" applyProtection="1">
      <alignment vertical="center"/>
      <protection locked="0"/>
    </xf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2" fillId="6" borderId="27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17" fontId="2" fillId="6" borderId="27" xfId="0" quotePrefix="1" applyNumberFormat="1" applyFont="1" applyFill="1" applyBorder="1" applyAlignment="1">
      <alignment horizontal="center" vertical="center"/>
    </xf>
    <xf numFmtId="0" fontId="2" fillId="5" borderId="17" xfId="0" quotePrefix="1" applyFont="1" applyFill="1" applyBorder="1" applyAlignment="1">
      <alignment horizontal="center" vertical="center"/>
    </xf>
    <xf numFmtId="164" fontId="0" fillId="2" borderId="0" xfId="0" applyNumberFormat="1" applyFill="1" applyAlignment="1">
      <alignment vertical="center"/>
    </xf>
    <xf numFmtId="0" fontId="0" fillId="2" borderId="1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10" xfId="0" applyFont="1" applyFill="1" applyBorder="1" applyAlignment="1">
      <alignment vertical="center"/>
    </xf>
    <xf numFmtId="0" fontId="0" fillId="2" borderId="37" xfId="0" applyFont="1" applyFill="1" applyBorder="1" applyAlignment="1">
      <alignment vertical="center"/>
    </xf>
    <xf numFmtId="0" fontId="0" fillId="2" borderId="38" xfId="0" applyFont="1" applyFill="1" applyBorder="1" applyAlignment="1">
      <alignment vertical="center"/>
    </xf>
    <xf numFmtId="0" fontId="0" fillId="2" borderId="39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164" fontId="10" fillId="2" borderId="0" xfId="0" applyNumberFormat="1" applyFont="1" applyFill="1" applyAlignment="1">
      <alignment vertical="center"/>
    </xf>
    <xf numFmtId="0" fontId="10" fillId="2" borderId="0" xfId="0" applyFont="1" applyFill="1"/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vertical="center"/>
    </xf>
    <xf numFmtId="164" fontId="11" fillId="6" borderId="23" xfId="0" applyNumberFormat="1" applyFont="1" applyFill="1" applyBorder="1" applyAlignment="1">
      <alignment horizontal="center" vertical="center"/>
    </xf>
    <xf numFmtId="164" fontId="6" fillId="5" borderId="1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164" fontId="0" fillId="2" borderId="42" xfId="0" applyNumberFormat="1" applyFill="1" applyBorder="1" applyAlignment="1" applyProtection="1">
      <alignment vertical="center"/>
      <protection locked="0"/>
    </xf>
    <xf numFmtId="164" fontId="0" fillId="2" borderId="0" xfId="0" applyNumberFormat="1" applyFill="1" applyAlignment="1" applyProtection="1">
      <alignment vertical="center"/>
      <protection locked="0"/>
    </xf>
    <xf numFmtId="0" fontId="0" fillId="6" borderId="45" xfId="0" applyFont="1" applyFill="1" applyBorder="1" applyAlignment="1">
      <alignment horizontal="center" vertical="center"/>
    </xf>
    <xf numFmtId="0" fontId="0" fillId="6" borderId="46" xfId="0" applyFont="1" applyFill="1" applyBorder="1" applyAlignment="1">
      <alignment horizontal="center" vertical="center"/>
    </xf>
    <xf numFmtId="0" fontId="0" fillId="6" borderId="47" xfId="0" applyFont="1" applyFill="1" applyBorder="1" applyAlignment="1">
      <alignment horizontal="center" vertical="center"/>
    </xf>
    <xf numFmtId="0" fontId="0" fillId="6" borderId="4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9" xfId="0" applyNumberForma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6" fillId="5" borderId="26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6" borderId="43" xfId="0" applyFont="1" applyFill="1" applyBorder="1" applyAlignment="1">
      <alignment horizontal="center" vertical="center"/>
    </xf>
    <xf numFmtId="0" fontId="0" fillId="6" borderId="44" xfId="0" applyFont="1" applyFill="1" applyBorder="1" applyAlignment="1">
      <alignment horizontal="center" vertical="center"/>
    </xf>
    <xf numFmtId="164" fontId="0" fillId="5" borderId="14" xfId="0" applyNumberFormat="1" applyFill="1" applyBorder="1" applyAlignment="1" applyProtection="1">
      <alignment horizontal="center" vertical="center"/>
      <protection locked="0"/>
    </xf>
    <xf numFmtId="164" fontId="0" fillId="5" borderId="19" xfId="0" applyNumberFormat="1" applyFill="1" applyBorder="1" applyAlignment="1" applyProtection="1">
      <alignment horizontal="center" vertical="center"/>
      <protection locked="0"/>
    </xf>
    <xf numFmtId="0" fontId="6" fillId="5" borderId="15" xfId="0" applyFont="1" applyFill="1" applyBorder="1" applyAlignment="1">
      <alignment horizontal="center" vertical="center"/>
    </xf>
    <xf numFmtId="164" fontId="0" fillId="5" borderId="24" xfId="0" applyNumberFormat="1" applyFill="1" applyBorder="1" applyAlignment="1" applyProtection="1">
      <alignment horizontal="center" vertical="center"/>
      <protection locked="0"/>
    </xf>
  </cellXfs>
  <cellStyles count="2">
    <cellStyle name="Collegamento ipertestuale" xfId="1" builtinId="8"/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18</xdr:row>
          <xdr:rowOff>76200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12</xdr:row>
          <xdr:rowOff>175260</xdr:rowOff>
        </xdr:from>
        <xdr:to>
          <xdr:col>10</xdr:col>
          <xdr:colOff>929640</xdr:colOff>
          <xdr:row>15</xdr:row>
          <xdr:rowOff>129540</xdr:rowOff>
        </xdr:to>
        <xdr:sp macro="" textlink="">
          <xdr:nvSpPr>
            <xdr:cNvPr id="1026" name="Pulsante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140244</xdr:colOff>
      <xdr:row>4</xdr:row>
      <xdr:rowOff>81350</xdr:rowOff>
    </xdr:from>
    <xdr:to>
      <xdr:col>19</xdr:col>
      <xdr:colOff>478982</xdr:colOff>
      <xdr:row>15</xdr:row>
      <xdr:rowOff>139117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7405" y="941673"/>
          <a:ext cx="4591189" cy="26264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878-0FBC-EA46-8D17-31FA0032E923}">
  <sheetPr codeName="Foglio1"/>
  <dimension ref="B1:AC33"/>
  <sheetViews>
    <sheetView tabSelected="1" topLeftCell="C4" zoomScale="87" zoomScaleNormal="100" workbookViewId="0">
      <selection activeCell="J13" sqref="J13"/>
    </sheetView>
  </sheetViews>
  <sheetFormatPr defaultColWidth="10.796875" defaultRowHeight="15.6" x14ac:dyDescent="0.3"/>
  <cols>
    <col min="1" max="1" width="3.19921875" style="1" customWidth="1"/>
    <col min="2" max="2" width="3.5" style="1" customWidth="1"/>
    <col min="3" max="3" width="31" style="1" customWidth="1"/>
    <col min="4" max="4" width="26.19921875" style="1" customWidth="1"/>
    <col min="5" max="5" width="10.796875" style="1"/>
    <col min="6" max="6" width="4.19921875" style="1" customWidth="1"/>
    <col min="7" max="7" width="14.09765625" style="1" customWidth="1"/>
    <col min="8" max="8" width="10.796875" style="1"/>
    <col min="9" max="9" width="5.5" style="1" customWidth="1"/>
    <col min="10" max="10" width="14.296875" style="1" customWidth="1"/>
    <col min="11" max="11" width="20.796875" style="1" customWidth="1"/>
    <col min="12" max="12" width="3.19921875" style="1" customWidth="1"/>
    <col min="13" max="13" width="3.296875" style="1" customWidth="1"/>
    <col min="14" max="14" width="3.69921875" style="1" customWidth="1"/>
    <col min="15" max="15" width="10.796875" style="1"/>
    <col min="16" max="16" width="12.5" style="1" customWidth="1"/>
    <col min="17" max="19" width="10.796875" style="1"/>
    <col min="20" max="20" width="8" style="1" customWidth="1"/>
    <col min="21" max="21" width="10.796875" style="1"/>
    <col min="22" max="22" width="10.796875" style="49"/>
    <col min="23" max="23" width="14.5" style="49" customWidth="1"/>
    <col min="24" max="24" width="12.5" style="49" customWidth="1"/>
    <col min="25" max="28" width="10.796875" style="49"/>
    <col min="29" max="16384" width="10.796875" style="1"/>
  </cols>
  <sheetData>
    <row r="1" spans="2:29" ht="15" customHeight="1" x14ac:dyDescent="0.3">
      <c r="E1" s="2"/>
      <c r="N1" s="49"/>
      <c r="O1" s="49"/>
      <c r="P1" s="49"/>
      <c r="Q1" s="49"/>
      <c r="R1" s="49"/>
      <c r="S1" s="49"/>
      <c r="T1" s="49"/>
      <c r="U1" s="49"/>
      <c r="V1" s="71"/>
      <c r="W1" s="71"/>
      <c r="X1" s="71"/>
      <c r="Y1" s="71"/>
      <c r="Z1" s="71"/>
      <c r="AA1" s="71"/>
      <c r="AB1" s="71"/>
    </row>
    <row r="2" spans="2:29" ht="21" x14ac:dyDescent="0.4">
      <c r="B2" s="3" t="s">
        <v>74</v>
      </c>
      <c r="E2" s="2"/>
      <c r="N2" s="49"/>
      <c r="O2" s="49"/>
      <c r="P2" s="49"/>
      <c r="Q2" s="49"/>
      <c r="R2" s="49"/>
      <c r="S2" s="49"/>
      <c r="T2" s="49"/>
      <c r="U2" s="49"/>
      <c r="AB2" s="71"/>
    </row>
    <row r="3" spans="2:29" ht="13.05" customHeight="1" thickBot="1" x14ac:dyDescent="0.35">
      <c r="E3" s="2"/>
      <c r="N3" s="49"/>
      <c r="O3" s="49"/>
      <c r="P3" s="49"/>
      <c r="Q3" s="49"/>
      <c r="R3" s="49"/>
      <c r="S3" s="49"/>
      <c r="T3" s="49"/>
      <c r="U3" s="49"/>
      <c r="AB3" s="71"/>
    </row>
    <row r="4" spans="2:29" s="11" customFormat="1" ht="19.05" customHeight="1" thickBot="1" x14ac:dyDescent="0.35">
      <c r="B4" s="6"/>
      <c r="C4" s="7"/>
      <c r="D4" s="7"/>
      <c r="E4" s="8"/>
      <c r="F4" s="7"/>
      <c r="G4" s="7"/>
      <c r="H4" s="9"/>
      <c r="I4" s="7"/>
      <c r="J4" s="9"/>
      <c r="K4" s="7"/>
      <c r="L4" s="10"/>
      <c r="N4" s="50"/>
      <c r="O4" s="50"/>
      <c r="P4" s="50"/>
      <c r="Q4" s="50"/>
      <c r="R4" s="50"/>
      <c r="S4" s="50"/>
      <c r="T4" s="50"/>
      <c r="U4" s="50"/>
      <c r="V4" s="69" t="s">
        <v>0</v>
      </c>
      <c r="W4" s="69" t="s">
        <v>34</v>
      </c>
      <c r="X4" s="69" t="s">
        <v>35</v>
      </c>
      <c r="Y4" s="50"/>
      <c r="Z4" s="50"/>
      <c r="AA4" s="50"/>
      <c r="AB4" s="69"/>
    </row>
    <row r="5" spans="2:29" s="11" customFormat="1" ht="19.05" customHeight="1" thickBot="1" x14ac:dyDescent="0.35">
      <c r="B5" s="12"/>
      <c r="C5" s="13" t="s">
        <v>1</v>
      </c>
      <c r="D5" s="14" t="s">
        <v>2</v>
      </c>
      <c r="E5" s="15" t="s">
        <v>0</v>
      </c>
      <c r="G5" s="16" t="s">
        <v>3</v>
      </c>
      <c r="H5" s="17" t="s">
        <v>0</v>
      </c>
      <c r="J5" s="18" t="s">
        <v>4</v>
      </c>
      <c r="K5" s="18" t="s">
        <v>58</v>
      </c>
      <c r="L5" s="19"/>
      <c r="N5" s="50"/>
      <c r="O5" s="60"/>
      <c r="P5" s="61"/>
      <c r="Q5" s="61"/>
      <c r="R5" s="61"/>
      <c r="S5" s="61"/>
      <c r="T5" s="62"/>
      <c r="U5" s="50"/>
      <c r="V5" s="69" t="s">
        <v>38</v>
      </c>
      <c r="W5" s="70">
        <v>0.2</v>
      </c>
      <c r="X5" s="70">
        <v>99.8</v>
      </c>
      <c r="Y5" s="50"/>
      <c r="Z5" s="50"/>
      <c r="AA5" s="50"/>
      <c r="AB5" s="70"/>
      <c r="AC5" s="59"/>
    </row>
    <row r="6" spans="2:29" s="11" customFormat="1" ht="19.05" customHeight="1" thickBot="1" x14ac:dyDescent="0.35">
      <c r="B6" s="12"/>
      <c r="C6" s="41" t="s">
        <v>12</v>
      </c>
      <c r="D6" s="20" t="s">
        <v>21</v>
      </c>
      <c r="E6" s="21">
        <v>0</v>
      </c>
      <c r="G6" s="105"/>
      <c r="H6" s="107">
        <f>IF(G6&lt;=25,0,IF(G6&gt;25,0.5,"Invalid"))</f>
        <v>0</v>
      </c>
      <c r="J6" s="72">
        <v>-1</v>
      </c>
      <c r="K6" s="76" t="str">
        <f>IF(J6&gt;16,"Probable Unilateral PA",IF(J6&lt;=8,"Probable Bilateral PA","Perform AVS"))</f>
        <v>Probable Bilateral PA</v>
      </c>
      <c r="L6" s="19"/>
      <c r="N6" s="50"/>
      <c r="O6" s="63"/>
      <c r="P6" s="64"/>
      <c r="Q6" s="64"/>
      <c r="R6" s="64"/>
      <c r="S6" s="64"/>
      <c r="T6" s="65"/>
      <c r="U6" s="50"/>
      <c r="V6" s="69" t="s">
        <v>39</v>
      </c>
      <c r="W6" s="70">
        <v>0.4</v>
      </c>
      <c r="X6" s="70">
        <v>99.6</v>
      </c>
      <c r="Y6" s="50"/>
      <c r="Z6" s="50"/>
      <c r="AA6" s="50"/>
      <c r="AB6" s="70"/>
      <c r="AC6" s="59"/>
    </row>
    <row r="7" spans="2:29" s="11" customFormat="1" ht="19.05" customHeight="1" thickBot="1" x14ac:dyDescent="0.35">
      <c r="B7" s="12"/>
      <c r="C7" s="38" t="s">
        <v>13</v>
      </c>
      <c r="D7" s="23" t="s">
        <v>22</v>
      </c>
      <c r="E7" s="24" t="s">
        <v>6</v>
      </c>
      <c r="G7" s="106"/>
      <c r="H7" s="98"/>
      <c r="J7" s="25"/>
      <c r="L7" s="19"/>
      <c r="N7" s="50"/>
      <c r="O7" s="63"/>
      <c r="P7" s="64"/>
      <c r="Q7" s="64"/>
      <c r="R7" s="64"/>
      <c r="S7" s="64"/>
      <c r="T7" s="65"/>
      <c r="U7" s="50"/>
      <c r="V7" s="69" t="s">
        <v>40</v>
      </c>
      <c r="W7" s="70">
        <v>0.7</v>
      </c>
      <c r="X7" s="70">
        <v>99.3</v>
      </c>
      <c r="Y7" s="50"/>
      <c r="Z7" s="50"/>
      <c r="AA7" s="50"/>
      <c r="AB7" s="70"/>
      <c r="AC7" s="59"/>
    </row>
    <row r="8" spans="2:29" s="11" customFormat="1" ht="19.05" customHeight="1" thickBot="1" x14ac:dyDescent="0.35">
      <c r="B8" s="12"/>
      <c r="D8" s="26"/>
      <c r="E8" s="27"/>
      <c r="G8" s="77"/>
      <c r="H8" s="73"/>
      <c r="J8" s="83" t="s">
        <v>59</v>
      </c>
      <c r="K8" s="84"/>
      <c r="L8" s="19"/>
      <c r="N8" s="50"/>
      <c r="O8" s="63"/>
      <c r="P8" s="64"/>
      <c r="Q8" s="64"/>
      <c r="R8" s="64"/>
      <c r="S8" s="64"/>
      <c r="T8" s="65"/>
      <c r="U8" s="50"/>
      <c r="V8" s="69" t="s">
        <v>41</v>
      </c>
      <c r="W8" s="70">
        <v>1.1000000000000001</v>
      </c>
      <c r="X8" s="70">
        <v>98.9</v>
      </c>
      <c r="Y8" s="50"/>
      <c r="Z8" s="50"/>
      <c r="AA8" s="50"/>
      <c r="AB8" s="70"/>
      <c r="AC8" s="59"/>
    </row>
    <row r="9" spans="2:29" s="11" customFormat="1" ht="19.05" customHeight="1" x14ac:dyDescent="0.3">
      <c r="B9" s="12"/>
      <c r="C9" s="41" t="s">
        <v>14</v>
      </c>
      <c r="D9" s="20" t="s">
        <v>23</v>
      </c>
      <c r="E9" s="21">
        <v>5</v>
      </c>
      <c r="G9" s="105"/>
      <c r="H9" s="96">
        <f>IF(G9&lt;3.4,5,IF(AND(G9&gt;=3.4,G9&lt;4),1.5,0))</f>
        <v>5</v>
      </c>
      <c r="J9" s="103" t="s">
        <v>61</v>
      </c>
      <c r="K9" s="104"/>
      <c r="L9" s="19"/>
      <c r="N9" s="50"/>
      <c r="O9" s="63"/>
      <c r="P9" s="64"/>
      <c r="Q9" s="64"/>
      <c r="R9" s="64"/>
      <c r="S9" s="64"/>
      <c r="T9" s="65"/>
      <c r="U9" s="50"/>
      <c r="V9" s="69" t="s">
        <v>42</v>
      </c>
      <c r="W9" s="70">
        <v>1.9</v>
      </c>
      <c r="X9" s="70">
        <v>98.1</v>
      </c>
      <c r="Y9" s="50"/>
      <c r="Z9" s="50"/>
      <c r="AA9" s="50"/>
      <c r="AB9" s="70"/>
      <c r="AC9" s="59"/>
    </row>
    <row r="10" spans="2:29" s="11" customFormat="1" ht="19.05" customHeight="1" x14ac:dyDescent="0.3">
      <c r="B10" s="12"/>
      <c r="C10" s="39" t="s">
        <v>15</v>
      </c>
      <c r="D10" s="51" t="s">
        <v>24</v>
      </c>
      <c r="E10" s="52" t="s">
        <v>5</v>
      </c>
      <c r="G10" s="106"/>
      <c r="H10" s="97"/>
      <c r="J10" s="79" t="s">
        <v>60</v>
      </c>
      <c r="K10" s="80"/>
      <c r="L10" s="19"/>
      <c r="N10" s="50"/>
      <c r="O10" s="63"/>
      <c r="P10" s="64"/>
      <c r="Q10" s="64"/>
      <c r="R10" s="64"/>
      <c r="S10" s="64"/>
      <c r="T10" s="65"/>
      <c r="U10" s="50"/>
      <c r="V10" s="69" t="s">
        <v>43</v>
      </c>
      <c r="W10" s="70">
        <v>3.2</v>
      </c>
      <c r="X10" s="70">
        <v>96.8</v>
      </c>
      <c r="Y10" s="50"/>
      <c r="Z10" s="50"/>
      <c r="AA10" s="50"/>
      <c r="AB10" s="70"/>
      <c r="AC10" s="59"/>
    </row>
    <row r="11" spans="2:29" s="11" customFormat="1" ht="19.05" customHeight="1" thickBot="1" x14ac:dyDescent="0.35">
      <c r="B11" s="12"/>
      <c r="C11" s="22"/>
      <c r="D11" s="29" t="s">
        <v>25</v>
      </c>
      <c r="E11" s="30">
        <v>0</v>
      </c>
      <c r="G11" s="108"/>
      <c r="H11" s="98"/>
      <c r="J11" s="81" t="s">
        <v>62</v>
      </c>
      <c r="K11" s="82"/>
      <c r="L11" s="19"/>
      <c r="N11" s="50"/>
      <c r="O11" s="63"/>
      <c r="P11" s="64"/>
      <c r="Q11" s="64"/>
      <c r="R11" s="64"/>
      <c r="S11" s="64"/>
      <c r="T11" s="65"/>
      <c r="U11" s="50"/>
      <c r="V11" s="69" t="s">
        <v>44</v>
      </c>
      <c r="W11" s="70">
        <v>5.4</v>
      </c>
      <c r="X11" s="70">
        <v>94.6</v>
      </c>
      <c r="Y11" s="50"/>
      <c r="Z11" s="50"/>
      <c r="AA11" s="50"/>
      <c r="AB11" s="70"/>
      <c r="AC11" s="59"/>
    </row>
    <row r="12" spans="2:29" s="11" customFormat="1" ht="19.05" customHeight="1" thickBot="1" x14ac:dyDescent="0.35">
      <c r="B12" s="12"/>
      <c r="D12" s="26"/>
      <c r="E12" s="27"/>
      <c r="G12" s="78"/>
      <c r="H12" s="73"/>
      <c r="L12" s="19"/>
      <c r="N12" s="50"/>
      <c r="O12" s="63"/>
      <c r="P12" s="64"/>
      <c r="Q12" s="64"/>
      <c r="R12" s="64"/>
      <c r="S12" s="64"/>
      <c r="T12" s="65"/>
      <c r="U12" s="50"/>
      <c r="V12" s="69" t="s">
        <v>45</v>
      </c>
      <c r="W12" s="70">
        <v>8.8000000000000007</v>
      </c>
      <c r="X12" s="70">
        <v>91.2</v>
      </c>
      <c r="Y12" s="50"/>
      <c r="Z12" s="50"/>
      <c r="AA12" s="50"/>
      <c r="AB12" s="70"/>
      <c r="AC12" s="59"/>
    </row>
    <row r="13" spans="2:29" s="11" customFormat="1" ht="19.05" customHeight="1" x14ac:dyDescent="0.3">
      <c r="B13" s="12"/>
      <c r="C13" s="41" t="s">
        <v>16</v>
      </c>
      <c r="D13" s="53" t="s">
        <v>26</v>
      </c>
      <c r="E13" s="54">
        <v>0</v>
      </c>
      <c r="G13" s="105"/>
      <c r="H13" s="96">
        <f>IF(G13&lt;15,0,IF(AND(G13&gt;15,G13&lt;20),1,2))</f>
        <v>0</v>
      </c>
      <c r="L13" s="19"/>
      <c r="N13" s="50"/>
      <c r="O13" s="63"/>
      <c r="P13" s="64"/>
      <c r="Q13" s="64"/>
      <c r="R13" s="64"/>
      <c r="S13" s="64"/>
      <c r="T13" s="65"/>
      <c r="U13" s="50"/>
      <c r="V13" s="69" t="s">
        <v>46</v>
      </c>
      <c r="W13" s="70">
        <v>14.1</v>
      </c>
      <c r="X13" s="70">
        <v>85.9</v>
      </c>
      <c r="Y13" s="50"/>
      <c r="Z13" s="50"/>
      <c r="AA13" s="50"/>
      <c r="AB13" s="70"/>
      <c r="AC13" s="59"/>
    </row>
    <row r="14" spans="2:29" s="11" customFormat="1" ht="19.05" customHeight="1" x14ac:dyDescent="0.3">
      <c r="B14" s="12"/>
      <c r="C14" s="40" t="s">
        <v>13</v>
      </c>
      <c r="D14" s="55" t="s">
        <v>27</v>
      </c>
      <c r="E14" s="56">
        <v>1</v>
      </c>
      <c r="G14" s="106"/>
      <c r="H14" s="97"/>
      <c r="L14" s="19"/>
      <c r="N14" s="50"/>
      <c r="O14" s="63"/>
      <c r="P14" s="64"/>
      <c r="Q14" s="64"/>
      <c r="R14" s="64"/>
      <c r="S14" s="64"/>
      <c r="T14" s="65"/>
      <c r="U14" s="50"/>
      <c r="V14" s="69" t="s">
        <v>47</v>
      </c>
      <c r="W14" s="70">
        <v>21.9</v>
      </c>
      <c r="X14" s="70">
        <v>78.099999999999994</v>
      </c>
      <c r="Y14" s="50"/>
      <c r="Z14" s="50"/>
      <c r="AA14" s="50"/>
      <c r="AB14" s="70"/>
      <c r="AC14" s="59"/>
    </row>
    <row r="15" spans="2:29" s="11" customFormat="1" ht="19.05" customHeight="1" thickBot="1" x14ac:dyDescent="0.35">
      <c r="B15" s="12"/>
      <c r="C15" s="22"/>
      <c r="D15" s="23" t="s">
        <v>28</v>
      </c>
      <c r="E15" s="24">
        <v>2</v>
      </c>
      <c r="G15" s="108"/>
      <c r="H15" s="98"/>
      <c r="L15" s="19"/>
      <c r="N15" s="50"/>
      <c r="O15" s="63"/>
      <c r="P15" s="64"/>
      <c r="Q15" s="64"/>
      <c r="R15" s="64"/>
      <c r="S15" s="64"/>
      <c r="T15" s="65"/>
      <c r="U15" s="50"/>
      <c r="V15" s="69" t="s">
        <v>48</v>
      </c>
      <c r="W15" s="70">
        <v>32.299999999999997</v>
      </c>
      <c r="X15" s="70">
        <v>67.7</v>
      </c>
      <c r="Y15" s="50"/>
      <c r="Z15" s="50"/>
      <c r="AA15" s="50"/>
      <c r="AB15" s="70"/>
      <c r="AC15" s="59"/>
    </row>
    <row r="16" spans="2:29" s="11" customFormat="1" ht="19.05" customHeight="1" thickBot="1" x14ac:dyDescent="0.35">
      <c r="B16" s="12"/>
      <c r="D16" s="26"/>
      <c r="E16" s="27"/>
      <c r="G16" s="31"/>
      <c r="H16" s="73"/>
      <c r="L16" s="19"/>
      <c r="N16" s="50"/>
      <c r="O16" s="66"/>
      <c r="P16" s="67"/>
      <c r="Q16" s="67"/>
      <c r="R16" s="67"/>
      <c r="S16" s="67"/>
      <c r="T16" s="68"/>
      <c r="U16" s="50"/>
      <c r="V16" s="69" t="s">
        <v>49</v>
      </c>
      <c r="W16" s="70">
        <v>44.8</v>
      </c>
      <c r="X16" s="70">
        <v>55.2</v>
      </c>
      <c r="Y16" s="50"/>
      <c r="Z16" s="50"/>
      <c r="AA16" s="50"/>
      <c r="AB16" s="70"/>
      <c r="AC16" s="59"/>
    </row>
    <row r="17" spans="2:29" s="11" customFormat="1" ht="19.05" customHeight="1" x14ac:dyDescent="0.3">
      <c r="B17" s="12"/>
      <c r="C17" s="41" t="s">
        <v>18</v>
      </c>
      <c r="D17" s="20" t="s">
        <v>63</v>
      </c>
      <c r="E17" s="21">
        <v>4</v>
      </c>
      <c r="G17" s="91"/>
      <c r="H17" s="88" t="str">
        <f>IF(G17="Y",4,IF(G17="N",0,"Invalid"))</f>
        <v>Invalid</v>
      </c>
      <c r="L17" s="19"/>
      <c r="N17" s="50"/>
      <c r="O17" s="50"/>
      <c r="P17" s="50"/>
      <c r="Q17" s="50"/>
      <c r="R17" s="50"/>
      <c r="S17" s="50"/>
      <c r="T17" s="50"/>
      <c r="U17" s="50"/>
      <c r="V17" s="69" t="s">
        <v>50</v>
      </c>
      <c r="W17" s="70">
        <v>58</v>
      </c>
      <c r="X17" s="70">
        <v>42</v>
      </c>
      <c r="Y17" s="50"/>
      <c r="Z17" s="50"/>
      <c r="AA17" s="50"/>
      <c r="AB17" s="70"/>
      <c r="AC17" s="59"/>
    </row>
    <row r="18" spans="2:29" s="11" customFormat="1" ht="19.05" customHeight="1" thickBot="1" x14ac:dyDescent="0.35">
      <c r="B18" s="12"/>
      <c r="C18" s="38" t="s">
        <v>17</v>
      </c>
      <c r="D18" s="43" t="s">
        <v>64</v>
      </c>
      <c r="E18" s="44">
        <v>0</v>
      </c>
      <c r="G18" s="92"/>
      <c r="H18" s="90"/>
      <c r="L18" s="19"/>
      <c r="N18" s="50"/>
      <c r="O18" s="50"/>
      <c r="P18" s="50"/>
      <c r="Q18" s="50"/>
      <c r="R18" s="50"/>
      <c r="S18" s="50"/>
      <c r="T18" s="50"/>
      <c r="U18" s="50"/>
      <c r="V18" s="69" t="s">
        <v>51</v>
      </c>
      <c r="W18" s="70">
        <v>70.2</v>
      </c>
      <c r="X18" s="70">
        <v>29.8</v>
      </c>
      <c r="Y18" s="50"/>
      <c r="Z18" s="50"/>
      <c r="AA18" s="50"/>
      <c r="AB18" s="70"/>
      <c r="AC18" s="59"/>
    </row>
    <row r="19" spans="2:29" s="11" customFormat="1" ht="19.05" customHeight="1" thickBot="1" x14ac:dyDescent="0.35">
      <c r="B19" s="12"/>
      <c r="D19" s="26"/>
      <c r="E19" s="27"/>
      <c r="G19" s="48"/>
      <c r="H19" s="73"/>
      <c r="L19" s="19"/>
      <c r="N19" s="11" t="s">
        <v>7</v>
      </c>
      <c r="O19" s="11" t="s">
        <v>36</v>
      </c>
      <c r="V19" s="69" t="s">
        <v>52</v>
      </c>
      <c r="W19" s="70">
        <v>80</v>
      </c>
      <c r="X19" s="70">
        <v>20</v>
      </c>
      <c r="Y19" s="50"/>
      <c r="Z19" s="50"/>
      <c r="AA19" s="50"/>
      <c r="AB19" s="70"/>
      <c r="AC19" s="59"/>
    </row>
    <row r="20" spans="2:29" s="11" customFormat="1" ht="19.05" customHeight="1" x14ac:dyDescent="0.3">
      <c r="B20" s="12"/>
      <c r="C20" s="41" t="s">
        <v>19</v>
      </c>
      <c r="D20" s="20" t="s">
        <v>29</v>
      </c>
      <c r="E20" s="21">
        <v>0</v>
      </c>
      <c r="G20" s="93"/>
      <c r="H20" s="96">
        <f>IF(G20&lt;=10,0,IF(AND(G20&gt;10,G20&lt;=30),1,2))</f>
        <v>0</v>
      </c>
      <c r="L20" s="19"/>
      <c r="O20" s="11" t="s">
        <v>68</v>
      </c>
      <c r="V20" s="69" t="s">
        <v>53</v>
      </c>
      <c r="W20" s="70">
        <v>87.2</v>
      </c>
      <c r="X20" s="70">
        <v>12.8</v>
      </c>
      <c r="Y20" s="50"/>
      <c r="Z20" s="50"/>
      <c r="AA20" s="50"/>
      <c r="AB20" s="70"/>
      <c r="AC20" s="59"/>
    </row>
    <row r="21" spans="2:29" s="11" customFormat="1" ht="19.05" customHeight="1" thickBot="1" x14ac:dyDescent="0.35">
      <c r="B21" s="12"/>
      <c r="C21" s="42" t="s">
        <v>10</v>
      </c>
      <c r="D21" s="57" t="s">
        <v>30</v>
      </c>
      <c r="E21" s="52">
        <v>1</v>
      </c>
      <c r="G21" s="94"/>
      <c r="H21" s="97"/>
      <c r="L21" s="19"/>
      <c r="O21" s="11" t="s">
        <v>69</v>
      </c>
      <c r="V21" s="69" t="s">
        <v>54</v>
      </c>
      <c r="W21" s="70">
        <v>92.1</v>
      </c>
      <c r="X21" s="70">
        <v>7.9</v>
      </c>
      <c r="Y21" s="50"/>
      <c r="Z21" s="50"/>
      <c r="AA21" s="50"/>
      <c r="AB21" s="70"/>
      <c r="AC21" s="59"/>
    </row>
    <row r="22" spans="2:29" s="11" customFormat="1" ht="19.05" customHeight="1" thickBot="1" x14ac:dyDescent="0.35">
      <c r="B22" s="12"/>
      <c r="C22" s="22"/>
      <c r="D22" s="29" t="s">
        <v>31</v>
      </c>
      <c r="E22" s="30">
        <v>2</v>
      </c>
      <c r="G22" s="95"/>
      <c r="H22" s="98"/>
      <c r="J22" s="99" t="s">
        <v>8</v>
      </c>
      <c r="K22" s="100"/>
      <c r="L22" s="19"/>
      <c r="O22" s="11" t="s">
        <v>70</v>
      </c>
      <c r="V22" s="69" t="s">
        <v>55</v>
      </c>
      <c r="W22" s="70">
        <v>95.2</v>
      </c>
      <c r="X22" s="70">
        <v>4.8</v>
      </c>
      <c r="Y22" s="50"/>
      <c r="Z22" s="50"/>
      <c r="AA22" s="50"/>
      <c r="AB22" s="70"/>
      <c r="AC22" s="59"/>
    </row>
    <row r="23" spans="2:29" s="11" customFormat="1" ht="19.05" customHeight="1" thickBot="1" x14ac:dyDescent="0.35">
      <c r="B23" s="12"/>
      <c r="D23" s="26"/>
      <c r="E23" s="27"/>
      <c r="G23" s="4"/>
      <c r="H23" s="73"/>
      <c r="J23" s="101"/>
      <c r="K23" s="102"/>
      <c r="L23" s="19"/>
      <c r="O23" s="11" t="s">
        <v>71</v>
      </c>
      <c r="V23" s="69" t="s">
        <v>56</v>
      </c>
      <c r="W23" s="70">
        <v>97.1</v>
      </c>
      <c r="X23" s="70">
        <v>2.9</v>
      </c>
      <c r="Y23" s="50"/>
      <c r="Z23" s="50"/>
      <c r="AA23" s="50"/>
      <c r="AB23" s="70"/>
      <c r="AC23" s="59"/>
    </row>
    <row r="24" spans="2:29" s="11" customFormat="1" ht="19.05" customHeight="1" x14ac:dyDescent="0.3">
      <c r="B24" s="12"/>
      <c r="C24" s="41" t="s">
        <v>20</v>
      </c>
      <c r="D24" s="53" t="s">
        <v>65</v>
      </c>
      <c r="E24" s="54">
        <v>0</v>
      </c>
      <c r="G24" s="85"/>
      <c r="H24" s="88" t="str">
        <f>IF(G24="BN",0,IF(G24="BA",4.5,IF(G24="UA",6.5,"Invalid")))</f>
        <v>Invalid</v>
      </c>
      <c r="J24" s="32" t="s">
        <v>34</v>
      </c>
      <c r="K24" s="75">
        <f>IF(AND(J6&gt;=0,J6&lt;=1),W5,IF(AND(J6&gt;1,J6&lt;=2),W6,IF(AND(J6&gt;2,J6&lt;=3),W7,IF(AND(J6&gt;3,J6&lt;=4),W8,IF(AND(J6&gt;4,J6&lt;=5),W9,IF(AND(J6&gt;5,J6&lt;=6),W10,IF(AND(J6&gt;6,J6&lt;=7),W11,IF(AND(J6&gt;7,J6&lt;=8),W12,IF(AND(J6&gt;8,J6&lt;=9),W13,IF(AND(J6&gt;9,J6&lt;=10),W14,IF(AND(J6&gt;10,J6&lt;=11),W15,IF(AND(J6&gt;11,J6&lt;=12),W16,IF(AND(J6&gt;12,J6&lt;=13),W17,IF(AND(J6&gt;13,J6&lt;=14),W18,IF(AND(J6&gt;14,J6&lt;=15),W19,IF(AND(J6&gt;15,J6&lt;=16),W20,IF(AND(J6&gt;16,J6&lt;=17),W21,IF(AND(J6&gt;17,J6&lt;=18),W22,IF(AND(J6&gt;18,J6&lt;=19),W23,W24)))))))))))))))))))</f>
        <v>98.3</v>
      </c>
      <c r="L24" s="19"/>
      <c r="N24" s="11" t="s">
        <v>9</v>
      </c>
      <c r="O24" s="11" t="s">
        <v>72</v>
      </c>
      <c r="V24" s="69" t="s">
        <v>57</v>
      </c>
      <c r="W24" s="70">
        <v>98.3</v>
      </c>
      <c r="X24" s="70">
        <v>1.7</v>
      </c>
      <c r="Y24" s="50"/>
      <c r="Z24" s="50"/>
      <c r="AA24" s="50"/>
      <c r="AB24" s="70"/>
      <c r="AC24" s="59"/>
    </row>
    <row r="25" spans="2:29" s="11" customFormat="1" ht="19.05" customHeight="1" thickBot="1" x14ac:dyDescent="0.35">
      <c r="B25" s="12"/>
      <c r="C25" s="28"/>
      <c r="D25" s="58" t="s">
        <v>66</v>
      </c>
      <c r="E25" s="56" t="s">
        <v>32</v>
      </c>
      <c r="G25" s="86"/>
      <c r="H25" s="89"/>
      <c r="J25" s="45" t="s">
        <v>35</v>
      </c>
      <c r="K25" s="74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,IF(AND(J6&gt;16,J6&lt;=17),X21,IF(AND(J6&gt;17,J6&lt;=18),X22,IF(AND(J6&gt;18,J6&lt;=19),X23,X24)))))))))))))))))))</f>
        <v>1.7</v>
      </c>
      <c r="L25" s="19"/>
      <c r="O25" s="11" t="s">
        <v>73</v>
      </c>
      <c r="V25" s="69"/>
      <c r="W25" s="69"/>
      <c r="X25" s="69"/>
      <c r="Y25" s="50"/>
      <c r="Z25" s="50"/>
      <c r="AA25" s="50"/>
      <c r="AB25" s="69"/>
    </row>
    <row r="26" spans="2:29" s="11" customFormat="1" ht="19.05" customHeight="1" thickBot="1" x14ac:dyDescent="0.35">
      <c r="B26" s="12"/>
      <c r="C26" s="22"/>
      <c r="D26" s="23" t="s">
        <v>67</v>
      </c>
      <c r="E26" s="24" t="s">
        <v>33</v>
      </c>
      <c r="G26" s="87"/>
      <c r="H26" s="90"/>
      <c r="J26" s="46"/>
      <c r="K26" s="47"/>
      <c r="L26" s="19"/>
      <c r="N26" s="11" t="s">
        <v>11</v>
      </c>
      <c r="O26" s="11" t="s">
        <v>37</v>
      </c>
      <c r="V26" s="69"/>
      <c r="W26" s="69"/>
      <c r="X26" s="69"/>
      <c r="Y26" s="50"/>
      <c r="Z26" s="50"/>
      <c r="AA26" s="50"/>
      <c r="AB26" s="69"/>
    </row>
    <row r="27" spans="2:29" s="11" customFormat="1" ht="19.05" customHeight="1" thickBot="1" x14ac:dyDescent="0.35">
      <c r="B27" s="33"/>
      <c r="C27" s="34"/>
      <c r="D27" s="34"/>
      <c r="E27" s="35"/>
      <c r="F27" s="34"/>
      <c r="G27" s="36"/>
      <c r="H27" s="34"/>
      <c r="I27" s="34"/>
      <c r="J27" s="34"/>
      <c r="K27" s="34"/>
      <c r="L27" s="37"/>
      <c r="V27" s="50"/>
      <c r="W27" s="50"/>
      <c r="X27" s="50"/>
      <c r="Y27" s="50"/>
      <c r="Z27" s="50"/>
      <c r="AA27" s="50"/>
      <c r="AB27" s="69"/>
    </row>
    <row r="28" spans="2:29" x14ac:dyDescent="0.3">
      <c r="E28" s="2"/>
      <c r="AB28" s="71"/>
    </row>
    <row r="29" spans="2:29" x14ac:dyDescent="0.3">
      <c r="E29" s="2"/>
      <c r="V29" s="71"/>
      <c r="W29" s="71"/>
      <c r="X29" s="71"/>
      <c r="Y29" s="71"/>
      <c r="Z29" s="71"/>
      <c r="AA29" s="71"/>
      <c r="AB29" s="71"/>
    </row>
    <row r="30" spans="2:29" x14ac:dyDescent="0.3">
      <c r="E30" s="2"/>
      <c r="V30" s="71"/>
      <c r="W30" s="71"/>
      <c r="X30" s="71"/>
      <c r="Y30" s="71"/>
      <c r="Z30" s="71"/>
      <c r="AA30" s="71"/>
      <c r="AB30" s="71"/>
    </row>
    <row r="31" spans="2:29" x14ac:dyDescent="0.3">
      <c r="E31" s="2"/>
      <c r="V31" s="71"/>
      <c r="W31" s="71"/>
      <c r="X31" s="71"/>
      <c r="Y31" s="71"/>
      <c r="Z31" s="71"/>
      <c r="AA31" s="71"/>
      <c r="AB31" s="71"/>
    </row>
    <row r="32" spans="2:29" x14ac:dyDescent="0.3">
      <c r="C32" s="5"/>
      <c r="E32" s="2"/>
    </row>
    <row r="33" spans="5:5" x14ac:dyDescent="0.3">
      <c r="E33" s="2"/>
    </row>
  </sheetData>
  <sheetProtection algorithmName="SHA-512" hashValue="rvue9bySLJLVfstc93lqcGv2h5s8QpYfiw5D4vPTzEaxUfA3VqKFSTglGpO8yS4nKn58dwUhRRYNiW+x8jybRA==" saltValue="10jwv30cAJP7ylrbPQ/Myw==" spinCount="100000" sheet="1" objects="1" scenarios="1"/>
  <mergeCells count="17">
    <mergeCell ref="G6:G7"/>
    <mergeCell ref="H6:H7"/>
    <mergeCell ref="G9:G11"/>
    <mergeCell ref="H9:H11"/>
    <mergeCell ref="G13:G15"/>
    <mergeCell ref="H13:H15"/>
    <mergeCell ref="J10:K10"/>
    <mergeCell ref="J11:K11"/>
    <mergeCell ref="J8:K8"/>
    <mergeCell ref="G24:G26"/>
    <mergeCell ref="H24:H26"/>
    <mergeCell ref="G17:G18"/>
    <mergeCell ref="H17:H18"/>
    <mergeCell ref="G20:G22"/>
    <mergeCell ref="H20:H22"/>
    <mergeCell ref="J22:K23"/>
    <mergeCell ref="J9:K9"/>
  </mergeCells>
  <conditionalFormatting sqref="K6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22860</xdr:colOff>
                    <xdr:row>12</xdr:row>
                    <xdr:rowOff>175260</xdr:rowOff>
                  </from>
                  <to>
                    <xdr:col>10</xdr:col>
                    <xdr:colOff>929640</xdr:colOff>
                    <xdr:row>15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Score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alessio Burrello</cp:lastModifiedBy>
  <dcterms:created xsi:type="dcterms:W3CDTF">2019-11-28T16:09:24Z</dcterms:created>
  <dcterms:modified xsi:type="dcterms:W3CDTF">2020-01-14T08:49:29Z</dcterms:modified>
</cp:coreProperties>
</file>