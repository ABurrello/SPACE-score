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less\Desktop\Lavori Articoli\CurrentWork Cateterismi\Tools\"/>
    </mc:Choice>
  </mc:AlternateContent>
  <xr:revisionPtr revIDLastSave="0" documentId="13_ncr:1_{09AD4D5B-32F0-4621-BD86-14E9595741E8}" xr6:coauthVersionLast="45" xr6:coauthVersionMax="45" xr10:uidLastSave="{00000000-0000-0000-0000-000000000000}"/>
  <bookViews>
    <workbookView xWindow="-96" yWindow="-96" windowWidth="23232" windowHeight="12552" xr2:uid="{A0EB1F24-04BA-E740-8D59-2D86D979B9E3}"/>
  </bookViews>
  <sheets>
    <sheet name="Score 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4" i="1" l="1"/>
  <c r="H17" i="1" l="1"/>
  <c r="H20" i="1"/>
  <c r="H13" i="1"/>
  <c r="H9" i="1"/>
  <c r="H6" i="1"/>
  <c r="K6" i="1" l="1"/>
  <c r="K25" i="1" l="1"/>
  <c r="K24" i="1"/>
</calcChain>
</file>

<file path=xl/sharedStrings.xml><?xml version="1.0" encoding="utf-8"?>
<sst xmlns="http://schemas.openxmlformats.org/spreadsheetml/2006/main" count="79" uniqueCount="74">
  <si>
    <t>Points</t>
  </si>
  <si>
    <t>Variable</t>
  </si>
  <si>
    <t>Category</t>
  </si>
  <si>
    <t>Patient Data</t>
  </si>
  <si>
    <t>Score</t>
  </si>
  <si>
    <t>1.5</t>
  </si>
  <si>
    <t>0.5</t>
  </si>
  <si>
    <t>(A)</t>
  </si>
  <si>
    <t>Percentage Distribution</t>
  </si>
  <si>
    <t>(B)</t>
  </si>
  <si>
    <t>(diameter, mm)</t>
  </si>
  <si>
    <t xml:space="preserve">(C) </t>
  </si>
  <si>
    <t>Aldosterone at screening</t>
  </si>
  <si>
    <t>(ng/dL)</t>
  </si>
  <si>
    <t>Lowest Potassium</t>
  </si>
  <si>
    <t>(mEq/L)</t>
  </si>
  <si>
    <t>Aldosterone post-confirmatory test</t>
  </si>
  <si>
    <t>(presence)</t>
  </si>
  <si>
    <t>Nodule at CT scanning</t>
  </si>
  <si>
    <t>Largest nodule at CT scanning</t>
  </si>
  <si>
    <t>CT descriptive findings</t>
  </si>
  <si>
    <t>&lt;/= 25.0</t>
  </si>
  <si>
    <t>&gt; 25.0</t>
  </si>
  <si>
    <t>&lt; 3.4</t>
  </si>
  <si>
    <t>3.4-3.9</t>
  </si>
  <si>
    <t>&gt;/= 4.0</t>
  </si>
  <si>
    <t>&lt;/= 15.0</t>
  </si>
  <si>
    <t>15.1-19.9</t>
  </si>
  <si>
    <t>&gt;/= 20.0</t>
  </si>
  <si>
    <t>&lt;/= 10</t>
  </si>
  <si>
    <t>11-30</t>
  </si>
  <si>
    <t>&gt; 30</t>
  </si>
  <si>
    <t>4.5</t>
  </si>
  <si>
    <t>6.5</t>
  </si>
  <si>
    <t>Unilateral PA</t>
  </si>
  <si>
    <t>Bilateral PA</t>
  </si>
  <si>
    <t>Insert patient data in highlighted column for each category; attention: units must be</t>
  </si>
  <si>
    <r>
      <t>in accordance with those specified; nodule at CT must be entered as Y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No</t>
    </r>
    <r>
      <rPr>
        <sz val="12"/>
        <color theme="1"/>
        <rFont val="Calibri"/>
        <family val="2"/>
        <scheme val="minor"/>
      </rPr>
      <t xml:space="preserve">); </t>
    </r>
  </si>
  <si>
    <r>
      <t xml:space="preserve">CT findings must be entered as </t>
    </r>
    <r>
      <rPr>
        <b/>
        <sz val="12"/>
        <color theme="1"/>
        <rFont val="Calibri"/>
        <family val="2"/>
        <scheme val="minor"/>
      </rPr>
      <t>BN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bilaterally normal</t>
    </r>
    <r>
      <rPr>
        <sz val="12"/>
        <color theme="1"/>
        <rFont val="Calibri"/>
        <family val="2"/>
        <scheme val="minor"/>
      </rPr>
      <t>), or BA (</t>
    </r>
    <r>
      <rPr>
        <b/>
        <sz val="12"/>
        <color theme="1"/>
        <rFont val="Calibri"/>
        <family val="2"/>
        <scheme val="minor"/>
      </rPr>
      <t>bilaterally normal</t>
    </r>
    <r>
      <rPr>
        <sz val="12"/>
        <color theme="1"/>
        <rFont val="Calibri"/>
        <family val="2"/>
        <scheme val="minor"/>
      </rPr>
      <t>), or</t>
    </r>
  </si>
  <si>
    <t>is the proportion of patients for each diagnosis with the resulting score);</t>
  </si>
  <si>
    <t>Click "Reset" before entering data for the next patient;</t>
  </si>
  <si>
    <t xml:space="preserve">Click "Calculate" to obtain score, predicted diagnosis and the percentage distribution (this </t>
  </si>
  <si>
    <t>Score Calculator for PA subtype diagnosis</t>
  </si>
  <si>
    <t>0.0-1.0</t>
  </si>
  <si>
    <t>1.1-2.0</t>
  </si>
  <si>
    <t>2.1-3.0</t>
  </si>
  <si>
    <t>3.1-4.0</t>
  </si>
  <si>
    <t>4.1-5.0</t>
  </si>
  <si>
    <t>5.1-6.0</t>
  </si>
  <si>
    <t>6.1-7.0</t>
  </si>
  <si>
    <t>7.1-8.0</t>
  </si>
  <si>
    <t>8.1-9.0</t>
  </si>
  <si>
    <t>9.1-10.0</t>
  </si>
  <si>
    <t>10.1-11.0</t>
  </si>
  <si>
    <t>11.1-12.0</t>
  </si>
  <si>
    <t>12.1-13.0</t>
  </si>
  <si>
    <t>13.1-14.0</t>
  </si>
  <si>
    <t>14.1-15.0</t>
  </si>
  <si>
    <t>15.1-16.0</t>
  </si>
  <si>
    <t>16.1-17.0</t>
  </si>
  <si>
    <t>17.1-18.0</t>
  </si>
  <si>
    <t>18.1-19.0</t>
  </si>
  <si>
    <t>19.1-20.0</t>
  </si>
  <si>
    <t>Indication</t>
  </si>
  <si>
    <t>Cut-offs</t>
  </si>
  <si>
    <t xml:space="preserve">8.5-16 - Perform AVS </t>
  </si>
  <si>
    <t>&lt;/= 8 - Probable Bilateral PA</t>
  </si>
  <si>
    <t>&gt; 16 - Probable Unilateral PA</t>
  </si>
  <si>
    <t>Yes (Y)</t>
  </si>
  <si>
    <t>No (N)</t>
  </si>
  <si>
    <t>Bilaterally Normal (BN)</t>
  </si>
  <si>
    <t>Bilaterally Abnormal (BA)</t>
  </si>
  <si>
    <t>Unilateral Abnormality (UA)</t>
  </si>
  <si>
    <r>
      <rPr>
        <b/>
        <sz val="12"/>
        <color theme="1"/>
        <rFont val="Calibri"/>
        <family val="2"/>
        <scheme val="minor"/>
      </rPr>
      <t>UA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monolateral abnormality</t>
    </r>
    <r>
      <rPr>
        <sz val="12"/>
        <color theme="1"/>
        <rFont val="Calibri"/>
        <family val="2"/>
        <scheme val="minor"/>
      </rPr>
      <t>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</si>
</sst>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149967955565050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ont="1" applyFill="1"/>
    <xf numFmtId="0" fontId="0" fillId="2" borderId="0" xfId="0" applyFont="1" applyFill="1" applyProtection="1"/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10" fillId="2" borderId="0" xfId="0" applyFont="1" applyFill="1" applyProtection="1"/>
    <xf numFmtId="0" fontId="5" fillId="2" borderId="0" xfId="0" applyFont="1" applyFill="1" applyProtection="1"/>
    <xf numFmtId="0" fontId="0" fillId="2" borderId="0" xfId="0" applyFill="1" applyAlignment="1" applyProtection="1">
      <alignment vertical="center"/>
    </xf>
    <xf numFmtId="0" fontId="0" fillId="2" borderId="1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0" xfId="0" applyFont="1" applyFill="1" applyAlignment="1" applyProtection="1">
      <alignment vertical="center"/>
    </xf>
    <xf numFmtId="0" fontId="10" fillId="2" borderId="0" xfId="0" applyFont="1" applyFill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0" fontId="1" fillId="3" borderId="5" xfId="0" applyFont="1" applyFill="1" applyBorder="1" applyAlignment="1" applyProtection="1">
      <alignment horizontal="left" vertical="center"/>
    </xf>
    <xf numFmtId="0" fontId="1" fillId="3" borderId="6" xfId="0" applyFont="1" applyFill="1" applyBorder="1" applyAlignment="1" applyProtection="1">
      <alignment horizontal="center" vertical="center"/>
    </xf>
    <xf numFmtId="0" fontId="1" fillId="3" borderId="7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</xf>
    <xf numFmtId="0" fontId="7" fillId="3" borderId="9" xfId="0" applyFont="1" applyFill="1" applyBorder="1" applyAlignment="1" applyProtection="1">
      <alignment horizontal="center" vertical="center"/>
    </xf>
    <xf numFmtId="0" fontId="1" fillId="3" borderId="9" xfId="0" applyFont="1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vertical="center"/>
    </xf>
    <xf numFmtId="0" fontId="0" fillId="2" borderId="1" xfId="0" applyFont="1" applyFill="1" applyBorder="1" applyAlignment="1" applyProtection="1">
      <alignment vertical="center"/>
    </xf>
    <xf numFmtId="0" fontId="0" fillId="2" borderId="2" xfId="0" applyFont="1" applyFill="1" applyBorder="1" applyAlignment="1" applyProtection="1">
      <alignment vertical="center"/>
    </xf>
    <xf numFmtId="0" fontId="0" fillId="2" borderId="3" xfId="0" applyFont="1" applyFill="1" applyBorder="1" applyAlignment="1" applyProtection="1">
      <alignment vertical="center"/>
    </xf>
    <xf numFmtId="0" fontId="8" fillId="4" borderId="11" xfId="0" applyFont="1" applyFill="1" applyBorder="1" applyAlignment="1" applyProtection="1"/>
    <xf numFmtId="0" fontId="2" fillId="5" borderId="12" xfId="0" applyFont="1" applyFill="1" applyBorder="1" applyAlignment="1" applyProtection="1">
      <alignment horizontal="center" vertical="center"/>
    </xf>
    <xf numFmtId="0" fontId="0" fillId="5" borderId="13" xfId="0" applyFill="1" applyBorder="1" applyAlignment="1" applyProtection="1">
      <alignment horizontal="center" vertical="center"/>
    </xf>
    <xf numFmtId="0" fontId="6" fillId="5" borderId="9" xfId="0" applyFont="1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/>
    </xf>
    <xf numFmtId="0" fontId="0" fillId="2" borderId="4" xfId="0" applyFont="1" applyFill="1" applyBorder="1" applyAlignment="1" applyProtection="1">
      <alignment vertical="center"/>
    </xf>
    <xf numFmtId="0" fontId="0" fillId="2" borderId="0" xfId="0" applyFont="1" applyFill="1" applyBorder="1" applyAlignment="1" applyProtection="1">
      <alignment vertical="center"/>
    </xf>
    <xf numFmtId="0" fontId="0" fillId="2" borderId="10" xfId="0" applyFont="1" applyFill="1" applyBorder="1" applyAlignment="1" applyProtection="1">
      <alignment vertical="center"/>
    </xf>
    <xf numFmtId="0" fontId="0" fillId="4" borderId="21" xfId="0" applyFill="1" applyBorder="1" applyAlignment="1" applyProtection="1">
      <alignment vertical="top"/>
    </xf>
    <xf numFmtId="0" fontId="2" fillId="6" borderId="22" xfId="0" applyFont="1" applyFill="1" applyBorder="1" applyAlignment="1" applyProtection="1">
      <alignment horizontal="center" vertical="center"/>
    </xf>
    <xf numFmtId="0" fontId="0" fillId="6" borderId="23" xfId="0" applyFill="1" applyBorder="1" applyAlignment="1" applyProtection="1">
      <alignment horizontal="center" vertical="center"/>
    </xf>
    <xf numFmtId="0" fontId="9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42" xfId="0" applyFill="1" applyBorder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0" fillId="4" borderId="16" xfId="0" applyFont="1" applyFill="1" applyBorder="1" applyAlignment="1" applyProtection="1">
      <alignment horizontal="left" vertical="top"/>
    </xf>
    <xf numFmtId="0" fontId="2" fillId="6" borderId="27" xfId="0" applyFont="1" applyFill="1" applyBorder="1" applyAlignment="1" applyProtection="1">
      <alignment horizontal="center" vertical="center"/>
    </xf>
    <xf numFmtId="0" fontId="0" fillId="6" borderId="28" xfId="0" applyFill="1" applyBorder="1" applyAlignment="1" applyProtection="1">
      <alignment horizontal="center" vertical="center"/>
    </xf>
    <xf numFmtId="0" fontId="0" fillId="4" borderId="21" xfId="0" applyFill="1" applyBorder="1" applyAlignment="1" applyProtection="1">
      <alignment vertical="center"/>
    </xf>
    <xf numFmtId="0" fontId="2" fillId="5" borderId="22" xfId="0" applyFont="1" applyFill="1" applyBorder="1" applyAlignment="1" applyProtection="1">
      <alignment horizontal="center" vertical="center"/>
    </xf>
    <xf numFmtId="0" fontId="0" fillId="5" borderId="23" xfId="0" applyFill="1" applyBorder="1" applyAlignment="1" applyProtection="1">
      <alignment horizontal="center" vertical="center"/>
    </xf>
    <xf numFmtId="0" fontId="2" fillId="6" borderId="12" xfId="0" applyFont="1" applyFill="1" applyBorder="1" applyAlignment="1" applyProtection="1">
      <alignment horizontal="center" vertical="center"/>
    </xf>
    <xf numFmtId="0" fontId="0" fillId="6" borderId="13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vertical="top"/>
    </xf>
    <xf numFmtId="0" fontId="2" fillId="5" borderId="17" xfId="0" applyFont="1" applyFill="1" applyBorder="1" applyAlignment="1" applyProtection="1">
      <alignment horizontal="center" vertical="center"/>
    </xf>
    <xf numFmtId="0" fontId="0" fillId="5" borderId="18" xfId="0" applyFill="1" applyBorder="1" applyAlignment="1" applyProtection="1">
      <alignment horizontal="center" vertical="center"/>
    </xf>
    <xf numFmtId="2" fontId="8" fillId="2" borderId="0" xfId="0" applyNumberFormat="1" applyFont="1" applyFill="1" applyAlignment="1" applyProtection="1">
      <alignment vertical="center"/>
    </xf>
    <xf numFmtId="0" fontId="0" fillId="2" borderId="37" xfId="0" applyFont="1" applyFill="1" applyBorder="1" applyAlignment="1" applyProtection="1">
      <alignment vertical="center"/>
    </xf>
    <xf numFmtId="0" fontId="0" fillId="2" borderId="38" xfId="0" applyFont="1" applyFill="1" applyBorder="1" applyAlignment="1" applyProtection="1">
      <alignment vertical="center"/>
    </xf>
    <xf numFmtId="0" fontId="0" fillId="2" borderId="39" xfId="0" applyFont="1" applyFill="1" applyBorder="1" applyAlignment="1" applyProtection="1">
      <alignment vertical="center"/>
    </xf>
    <xf numFmtId="0" fontId="2" fillId="6" borderId="40" xfId="0" applyFont="1" applyFill="1" applyBorder="1" applyAlignment="1" applyProtection="1">
      <alignment horizontal="center" vertical="center"/>
    </xf>
    <xf numFmtId="0" fontId="0" fillId="6" borderId="41" xfId="0" applyFill="1" applyBorder="1" applyAlignment="1" applyProtection="1">
      <alignment horizontal="center" vertical="center"/>
    </xf>
    <xf numFmtId="0" fontId="0" fillId="4" borderId="16" xfId="0" applyFont="1" applyFill="1" applyBorder="1" applyAlignment="1" applyProtection="1">
      <alignment vertical="top"/>
    </xf>
    <xf numFmtId="17" fontId="2" fillId="6" borderId="27" xfId="0" quotePrefix="1" applyNumberFormat="1" applyFont="1" applyFill="1" applyBorder="1" applyAlignment="1" applyProtection="1">
      <alignment horizontal="center" vertical="center"/>
    </xf>
    <xf numFmtId="0" fontId="0" fillId="5" borderId="31" xfId="0" applyFill="1" applyBorder="1" applyAlignment="1" applyProtection="1">
      <alignment horizontal="center" vertical="center"/>
    </xf>
    <xf numFmtId="164" fontId="6" fillId="5" borderId="13" xfId="0" applyNumberFormat="1" applyFont="1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vertical="center"/>
    </xf>
    <xf numFmtId="0" fontId="2" fillId="5" borderId="17" xfId="0" quotePrefix="1" applyFont="1" applyFill="1" applyBorder="1" applyAlignment="1" applyProtection="1">
      <alignment horizontal="center" vertical="center"/>
    </xf>
    <xf numFmtId="0" fontId="0" fillId="6" borderId="36" xfId="0" applyFill="1" applyBorder="1" applyAlignment="1" applyProtection="1">
      <alignment horizontal="center" vertical="center"/>
    </xf>
    <xf numFmtId="164" fontId="11" fillId="6" borderId="23" xfId="0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164" fontId="6" fillId="2" borderId="0" xfId="0" applyNumberFormat="1" applyFont="1" applyFill="1" applyBorder="1" applyAlignment="1" applyProtection="1">
      <alignment horizontal="center" vertical="center"/>
    </xf>
    <xf numFmtId="0" fontId="0" fillId="2" borderId="37" xfId="0" applyFill="1" applyBorder="1" applyAlignment="1" applyProtection="1">
      <alignment vertical="center"/>
    </xf>
    <xf numFmtId="0" fontId="0" fillId="2" borderId="38" xfId="0" applyFill="1" applyBorder="1" applyAlignment="1" applyProtection="1">
      <alignment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39" xfId="0" applyFill="1" applyBorder="1" applyAlignment="1" applyProtection="1">
      <alignment vertical="center"/>
    </xf>
    <xf numFmtId="0" fontId="4" fillId="2" borderId="0" xfId="1" applyFill="1" applyProtection="1"/>
    <xf numFmtId="164" fontId="10" fillId="2" borderId="0" xfId="0" applyNumberFormat="1" applyFont="1" applyFill="1" applyAlignment="1" applyProtection="1">
      <alignment vertical="center"/>
    </xf>
    <xf numFmtId="164" fontId="0" fillId="2" borderId="0" xfId="0" applyNumberFormat="1" applyFill="1" applyAlignment="1" applyProtection="1">
      <alignment vertical="center"/>
    </xf>
    <xf numFmtId="0" fontId="0" fillId="6" borderId="45" xfId="0" applyFont="1" applyFill="1" applyBorder="1" applyAlignment="1" applyProtection="1">
      <alignment horizontal="center" vertical="center"/>
    </xf>
    <xf numFmtId="0" fontId="0" fillId="6" borderId="46" xfId="0" applyFont="1" applyFill="1" applyBorder="1" applyAlignment="1" applyProtection="1">
      <alignment horizontal="center" vertical="center"/>
    </xf>
    <xf numFmtId="0" fontId="0" fillId="6" borderId="47" xfId="0" applyFont="1" applyFill="1" applyBorder="1" applyAlignment="1" applyProtection="1">
      <alignment horizontal="center" vertical="center"/>
    </xf>
    <xf numFmtId="0" fontId="0" fillId="6" borderId="48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0" fontId="6" fillId="5" borderId="30" xfId="0" applyFont="1" applyFill="1" applyBorder="1" applyAlignment="1" applyProtection="1">
      <alignment horizontal="center" vertical="center"/>
    </xf>
    <xf numFmtId="0" fontId="6" fillId="5" borderId="33" xfId="0" applyFont="1" applyFill="1" applyBorder="1" applyAlignment="1" applyProtection="1">
      <alignment horizontal="center" vertical="center"/>
    </xf>
    <xf numFmtId="0" fontId="6" fillId="5" borderId="35" xfId="0" applyFont="1" applyFill="1" applyBorder="1" applyAlignment="1" applyProtection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9" xfId="0" applyNumberForma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 applyProtection="1">
      <alignment horizontal="center" vertical="center"/>
      <protection locked="0"/>
    </xf>
    <xf numFmtId="0" fontId="6" fillId="5" borderId="26" xfId="0" applyFont="1" applyFill="1" applyBorder="1" applyAlignment="1" applyProtection="1">
      <alignment horizontal="center" vertical="center"/>
    </xf>
    <xf numFmtId="0" fontId="6" fillId="5" borderId="20" xfId="0" applyFont="1" applyFill="1" applyBorder="1" applyAlignment="1" applyProtection="1">
      <alignment horizontal="center" vertical="center"/>
    </xf>
    <xf numFmtId="0" fontId="6" fillId="5" borderId="25" xfId="0" applyFont="1" applyFill="1" applyBorder="1" applyAlignment="1" applyProtection="1">
      <alignment horizontal="center" vertical="center"/>
    </xf>
    <xf numFmtId="0" fontId="7" fillId="3" borderId="1" xfId="0" applyFont="1" applyFill="1" applyBorder="1" applyAlignment="1" applyProtection="1">
      <alignment horizontal="center" vertical="center"/>
    </xf>
    <xf numFmtId="0" fontId="7" fillId="3" borderId="3" xfId="0" applyFont="1" applyFill="1" applyBorder="1" applyAlignment="1" applyProtection="1">
      <alignment horizontal="center" vertical="center"/>
    </xf>
    <xf numFmtId="0" fontId="7" fillId="3" borderId="4" xfId="0" applyFont="1" applyFill="1" applyBorder="1" applyAlignment="1" applyProtection="1">
      <alignment horizontal="center" vertical="center"/>
    </xf>
    <xf numFmtId="0" fontId="7" fillId="3" borderId="10" xfId="0" applyFont="1" applyFill="1" applyBorder="1" applyAlignment="1" applyProtection="1">
      <alignment horizontal="center" vertical="center"/>
    </xf>
    <xf numFmtId="0" fontId="0" fillId="6" borderId="43" xfId="0" applyFont="1" applyFill="1" applyBorder="1" applyAlignment="1" applyProtection="1">
      <alignment horizontal="center" vertical="center"/>
    </xf>
    <xf numFmtId="0" fontId="0" fillId="6" borderId="44" xfId="0" applyFont="1" applyFill="1" applyBorder="1" applyAlignment="1" applyProtection="1">
      <alignment horizontal="center" vertical="center"/>
    </xf>
    <xf numFmtId="0" fontId="6" fillId="5" borderId="15" xfId="0" applyFont="1" applyFill="1" applyBorder="1" applyAlignment="1" applyProtection="1">
      <alignment horizontal="center" vertical="center"/>
    </xf>
    <xf numFmtId="2" fontId="0" fillId="5" borderId="24" xfId="0" applyNumberFormat="1" applyFill="1" applyBorder="1" applyAlignment="1" applyProtection="1">
      <alignment horizontal="center" vertical="center"/>
      <protection locked="0"/>
    </xf>
  </cellXfs>
  <cellStyles count="2">
    <cellStyle name="Collegamento ipertestuale" xfId="1" builtinId="8"/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16</xdr:row>
          <xdr:rowOff>152400</xdr:rowOff>
        </xdr:from>
        <xdr:to>
          <xdr:col>10</xdr:col>
          <xdr:colOff>952500</xdr:colOff>
          <xdr:row>18</xdr:row>
          <xdr:rowOff>76200</xdr:rowOff>
        </xdr:to>
        <xdr:sp macro="" textlink="">
          <xdr:nvSpPr>
            <xdr:cNvPr id="1025" name="Pulsant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12</xdr:row>
          <xdr:rowOff>175260</xdr:rowOff>
        </xdr:from>
        <xdr:to>
          <xdr:col>10</xdr:col>
          <xdr:colOff>929640</xdr:colOff>
          <xdr:row>15</xdr:row>
          <xdr:rowOff>129540</xdr:rowOff>
        </xdr:to>
        <xdr:sp macro="" textlink="">
          <xdr:nvSpPr>
            <xdr:cNvPr id="1026" name="Pulsante 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140244</xdr:colOff>
      <xdr:row>4</xdr:row>
      <xdr:rowOff>81350</xdr:rowOff>
    </xdr:from>
    <xdr:to>
      <xdr:col>19</xdr:col>
      <xdr:colOff>478982</xdr:colOff>
      <xdr:row>15</xdr:row>
      <xdr:rowOff>139117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7405" y="941673"/>
          <a:ext cx="4591189" cy="26264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5878-0FBC-EA46-8D17-31FA0032E923}">
  <sheetPr codeName="Foglio1"/>
  <dimension ref="A1:AG152"/>
  <sheetViews>
    <sheetView tabSelected="1" topLeftCell="D1" zoomScale="90" zoomScaleNormal="62" workbookViewId="0">
      <selection activeCell="I3" sqref="I3"/>
    </sheetView>
  </sheetViews>
  <sheetFormatPr defaultColWidth="10.796875" defaultRowHeight="15.6" x14ac:dyDescent="0.3"/>
  <cols>
    <col min="1" max="1" width="3.19921875" style="1" customWidth="1"/>
    <col min="2" max="2" width="3.5" style="1" customWidth="1"/>
    <col min="3" max="3" width="31" style="1" customWidth="1"/>
    <col min="4" max="4" width="26.19921875" style="1" customWidth="1"/>
    <col min="5" max="5" width="10.796875" style="1"/>
    <col min="6" max="6" width="4.19921875" style="1" customWidth="1"/>
    <col min="7" max="7" width="13.69921875" style="1" customWidth="1"/>
    <col min="8" max="8" width="10.796875" style="1"/>
    <col min="9" max="9" width="5.5" style="1" customWidth="1"/>
    <col min="10" max="10" width="14.296875" style="1" customWidth="1"/>
    <col min="11" max="11" width="20.796875" style="1" customWidth="1"/>
    <col min="12" max="12" width="3.19921875" style="1" customWidth="1"/>
    <col min="13" max="13" width="3.296875" style="1" customWidth="1"/>
    <col min="14" max="14" width="3.69921875" style="1" customWidth="1"/>
    <col min="15" max="15" width="10.796875" style="1"/>
    <col min="16" max="16" width="12.5" style="1" customWidth="1"/>
    <col min="17" max="19" width="10.796875" style="1"/>
    <col min="20" max="20" width="8" style="1" customWidth="1"/>
    <col min="21" max="21" width="10.796875" style="1"/>
    <col min="22" max="22" width="10.796875" style="3"/>
    <col min="23" max="23" width="14.5" style="3" customWidth="1"/>
    <col min="24" max="24" width="12.5" style="3" customWidth="1"/>
    <col min="25" max="28" width="10.796875" style="3"/>
    <col min="29" max="16384" width="10.796875" style="1"/>
  </cols>
  <sheetData>
    <row r="1" spans="1:33" ht="15" customHeight="1" x14ac:dyDescent="0.3">
      <c r="A1" s="5"/>
      <c r="B1" s="5"/>
      <c r="C1" s="5"/>
      <c r="D1" s="5"/>
      <c r="E1" s="6"/>
      <c r="F1" s="5"/>
      <c r="G1" s="5"/>
      <c r="H1" s="5"/>
      <c r="I1" s="5"/>
      <c r="J1" s="5"/>
      <c r="K1" s="5"/>
      <c r="L1" s="5"/>
      <c r="M1" s="5"/>
      <c r="N1" s="4"/>
      <c r="O1" s="4"/>
      <c r="P1" s="4"/>
      <c r="Q1" s="4"/>
      <c r="R1" s="4"/>
      <c r="S1" s="4"/>
      <c r="T1" s="4"/>
      <c r="U1" s="4"/>
      <c r="V1" s="7"/>
      <c r="W1" s="7"/>
      <c r="X1" s="7"/>
      <c r="Y1" s="7"/>
      <c r="Z1" s="7"/>
      <c r="AA1" s="7"/>
      <c r="AB1" s="7"/>
      <c r="AC1" s="5"/>
      <c r="AD1" s="5"/>
      <c r="AE1" s="5"/>
      <c r="AF1" s="5"/>
      <c r="AG1" s="5"/>
    </row>
    <row r="2" spans="1:33" ht="21" x14ac:dyDescent="0.4">
      <c r="A2" s="5"/>
      <c r="B2" s="8" t="s">
        <v>42</v>
      </c>
      <c r="C2" s="5"/>
      <c r="D2" s="5"/>
      <c r="E2" s="6"/>
      <c r="F2" s="5"/>
      <c r="G2" s="5"/>
      <c r="H2" s="5"/>
      <c r="I2" s="5"/>
      <c r="J2" s="5"/>
      <c r="K2" s="5"/>
      <c r="L2" s="5"/>
      <c r="M2" s="5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7"/>
      <c r="AC2" s="5"/>
      <c r="AD2" s="5"/>
      <c r="AE2" s="5"/>
      <c r="AF2" s="5"/>
      <c r="AG2" s="5"/>
    </row>
    <row r="3" spans="1:33" ht="13.05" customHeight="1" thickBot="1" x14ac:dyDescent="0.35">
      <c r="A3" s="5"/>
      <c r="B3" s="5"/>
      <c r="C3" s="5"/>
      <c r="D3" s="5"/>
      <c r="E3" s="6"/>
      <c r="F3" s="5"/>
      <c r="G3" s="5"/>
      <c r="H3" s="5"/>
      <c r="I3" s="5"/>
      <c r="J3" s="5"/>
      <c r="K3" s="5"/>
      <c r="L3" s="5"/>
      <c r="M3" s="5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7"/>
      <c r="AC3" s="5"/>
      <c r="AD3" s="5"/>
      <c r="AE3" s="5"/>
      <c r="AF3" s="5"/>
      <c r="AG3" s="5"/>
    </row>
    <row r="4" spans="1:33" s="2" customFormat="1" ht="19.05" customHeight="1" thickBot="1" x14ac:dyDescent="0.35">
      <c r="A4" s="9"/>
      <c r="B4" s="10"/>
      <c r="C4" s="11"/>
      <c r="D4" s="11"/>
      <c r="E4" s="12"/>
      <c r="F4" s="11"/>
      <c r="G4" s="11"/>
      <c r="H4" s="13"/>
      <c r="I4" s="11"/>
      <c r="J4" s="13"/>
      <c r="K4" s="11"/>
      <c r="L4" s="14"/>
      <c r="M4" s="9"/>
      <c r="N4" s="15"/>
      <c r="O4" s="15"/>
      <c r="P4" s="15"/>
      <c r="Q4" s="15"/>
      <c r="R4" s="15"/>
      <c r="S4" s="15"/>
      <c r="T4" s="15"/>
      <c r="U4" s="15"/>
      <c r="V4" s="16" t="s">
        <v>0</v>
      </c>
      <c r="W4" s="16" t="s">
        <v>34</v>
      </c>
      <c r="X4" s="16" t="s">
        <v>35</v>
      </c>
      <c r="Y4" s="15"/>
      <c r="Z4" s="15"/>
      <c r="AA4" s="15"/>
      <c r="AB4" s="16"/>
      <c r="AC4" s="9"/>
      <c r="AD4" s="9"/>
      <c r="AE4" s="9"/>
      <c r="AF4" s="9"/>
      <c r="AG4" s="9"/>
    </row>
    <row r="5" spans="1:33" s="2" customFormat="1" ht="19.05" customHeight="1" thickBot="1" x14ac:dyDescent="0.35">
      <c r="A5" s="9"/>
      <c r="B5" s="17"/>
      <c r="C5" s="18" t="s">
        <v>1</v>
      </c>
      <c r="D5" s="19" t="s">
        <v>2</v>
      </c>
      <c r="E5" s="20" t="s">
        <v>0</v>
      </c>
      <c r="F5" s="9"/>
      <c r="G5" s="21" t="s">
        <v>3</v>
      </c>
      <c r="H5" s="22" t="s">
        <v>0</v>
      </c>
      <c r="I5" s="9"/>
      <c r="J5" s="23" t="s">
        <v>4</v>
      </c>
      <c r="K5" s="23" t="s">
        <v>63</v>
      </c>
      <c r="L5" s="24"/>
      <c r="M5" s="9"/>
      <c r="N5" s="15"/>
      <c r="O5" s="25"/>
      <c r="P5" s="26"/>
      <c r="Q5" s="26"/>
      <c r="R5" s="26"/>
      <c r="S5" s="26"/>
      <c r="T5" s="27"/>
      <c r="U5" s="15"/>
      <c r="V5" s="16" t="s">
        <v>43</v>
      </c>
      <c r="W5" s="76">
        <v>0.2</v>
      </c>
      <c r="X5" s="76">
        <v>99.8</v>
      </c>
      <c r="Y5" s="15"/>
      <c r="Z5" s="15"/>
      <c r="AA5" s="15"/>
      <c r="AB5" s="76"/>
      <c r="AC5" s="77"/>
      <c r="AD5" s="9"/>
      <c r="AE5" s="9"/>
      <c r="AF5" s="9"/>
      <c r="AG5" s="9"/>
    </row>
    <row r="6" spans="1:33" s="2" customFormat="1" ht="19.05" customHeight="1" thickBot="1" x14ac:dyDescent="0.35">
      <c r="A6" s="9"/>
      <c r="B6" s="17"/>
      <c r="C6" s="28" t="s">
        <v>12</v>
      </c>
      <c r="D6" s="29" t="s">
        <v>21</v>
      </c>
      <c r="E6" s="30">
        <v>0</v>
      </c>
      <c r="F6" s="9"/>
      <c r="G6" s="92"/>
      <c r="H6" s="104">
        <f>IF(G6&lt;=25,0,IF(G6&gt;25,0.5,"Invalid"))</f>
        <v>0</v>
      </c>
      <c r="I6" s="9"/>
      <c r="J6" s="31">
        <v>-1</v>
      </c>
      <c r="K6" s="32" t="str">
        <f>IF(J6&gt;16,"Probable Unilateral PA",IF(J6&lt;=8,"Probable Bilateral PA","Perform AVS"))</f>
        <v>Probable Bilateral PA</v>
      </c>
      <c r="L6" s="24"/>
      <c r="M6" s="9"/>
      <c r="N6" s="15"/>
      <c r="O6" s="33"/>
      <c r="P6" s="34"/>
      <c r="Q6" s="34"/>
      <c r="R6" s="34"/>
      <c r="S6" s="34"/>
      <c r="T6" s="35"/>
      <c r="U6" s="15"/>
      <c r="V6" s="16" t="s">
        <v>44</v>
      </c>
      <c r="W6" s="76">
        <v>0.4</v>
      </c>
      <c r="X6" s="76">
        <v>99.6</v>
      </c>
      <c r="Y6" s="15"/>
      <c r="Z6" s="15"/>
      <c r="AA6" s="15"/>
      <c r="AB6" s="76"/>
      <c r="AC6" s="77"/>
      <c r="AD6" s="9"/>
      <c r="AE6" s="9"/>
      <c r="AF6" s="9"/>
      <c r="AG6" s="9"/>
    </row>
    <row r="7" spans="1:33" s="2" customFormat="1" ht="19.05" customHeight="1" thickBot="1" x14ac:dyDescent="0.35">
      <c r="A7" s="9"/>
      <c r="B7" s="17"/>
      <c r="C7" s="36" t="s">
        <v>13</v>
      </c>
      <c r="D7" s="37" t="s">
        <v>22</v>
      </c>
      <c r="E7" s="38" t="s">
        <v>6</v>
      </c>
      <c r="F7" s="9"/>
      <c r="G7" s="93"/>
      <c r="H7" s="97"/>
      <c r="I7" s="9"/>
      <c r="J7" s="39"/>
      <c r="K7" s="9"/>
      <c r="L7" s="24"/>
      <c r="M7" s="9"/>
      <c r="N7" s="15"/>
      <c r="O7" s="33"/>
      <c r="P7" s="34"/>
      <c r="Q7" s="34"/>
      <c r="R7" s="34"/>
      <c r="S7" s="34"/>
      <c r="T7" s="35"/>
      <c r="U7" s="15"/>
      <c r="V7" s="16" t="s">
        <v>45</v>
      </c>
      <c r="W7" s="76">
        <v>0.7</v>
      </c>
      <c r="X7" s="76">
        <v>99.3</v>
      </c>
      <c r="Y7" s="15"/>
      <c r="Z7" s="15"/>
      <c r="AA7" s="15"/>
      <c r="AB7" s="76"/>
      <c r="AC7" s="77"/>
      <c r="AD7" s="9"/>
      <c r="AE7" s="9"/>
      <c r="AF7" s="9"/>
      <c r="AG7" s="9"/>
    </row>
    <row r="8" spans="1:33" s="2" customFormat="1" ht="19.05" customHeight="1" thickBot="1" x14ac:dyDescent="0.35">
      <c r="A8" s="9"/>
      <c r="B8" s="17"/>
      <c r="C8" s="9"/>
      <c r="D8" s="40"/>
      <c r="E8" s="41"/>
      <c r="F8" s="9"/>
      <c r="G8" s="42"/>
      <c r="H8" s="43"/>
      <c r="I8" s="9"/>
      <c r="J8" s="82" t="s">
        <v>64</v>
      </c>
      <c r="K8" s="83"/>
      <c r="L8" s="24"/>
      <c r="M8" s="9"/>
      <c r="N8" s="15"/>
      <c r="O8" s="33"/>
      <c r="P8" s="34"/>
      <c r="Q8" s="34"/>
      <c r="R8" s="34"/>
      <c r="S8" s="34"/>
      <c r="T8" s="35"/>
      <c r="U8" s="15"/>
      <c r="V8" s="16" t="s">
        <v>46</v>
      </c>
      <c r="W8" s="76">
        <v>1.1000000000000001</v>
      </c>
      <c r="X8" s="76">
        <v>98.9</v>
      </c>
      <c r="Y8" s="15"/>
      <c r="Z8" s="15"/>
      <c r="AA8" s="15"/>
      <c r="AB8" s="76"/>
      <c r="AC8" s="77"/>
      <c r="AD8" s="9"/>
      <c r="AE8" s="9"/>
      <c r="AF8" s="9"/>
      <c r="AG8" s="9"/>
    </row>
    <row r="9" spans="1:33" s="2" customFormat="1" ht="19.05" customHeight="1" x14ac:dyDescent="0.3">
      <c r="A9" s="9"/>
      <c r="B9" s="17"/>
      <c r="C9" s="28" t="s">
        <v>14</v>
      </c>
      <c r="D9" s="29" t="s">
        <v>23</v>
      </c>
      <c r="E9" s="30">
        <v>5</v>
      </c>
      <c r="F9" s="9"/>
      <c r="G9" s="92"/>
      <c r="H9" s="95">
        <f>IF(G9&lt;3.4,5,IF(AND(G9&gt;=3.4,G9&lt;4),1.5,0))</f>
        <v>5</v>
      </c>
      <c r="I9" s="9"/>
      <c r="J9" s="102" t="s">
        <v>66</v>
      </c>
      <c r="K9" s="103"/>
      <c r="L9" s="24"/>
      <c r="M9" s="9"/>
      <c r="N9" s="15"/>
      <c r="O9" s="33"/>
      <c r="P9" s="34"/>
      <c r="Q9" s="34"/>
      <c r="R9" s="34"/>
      <c r="S9" s="34"/>
      <c r="T9" s="35"/>
      <c r="U9" s="15"/>
      <c r="V9" s="16" t="s">
        <v>47</v>
      </c>
      <c r="W9" s="76">
        <v>1.9</v>
      </c>
      <c r="X9" s="76">
        <v>98.1</v>
      </c>
      <c r="Y9" s="15"/>
      <c r="Z9" s="15"/>
      <c r="AA9" s="15"/>
      <c r="AB9" s="76"/>
      <c r="AC9" s="77"/>
      <c r="AD9" s="9"/>
      <c r="AE9" s="9"/>
      <c r="AF9" s="9"/>
      <c r="AG9" s="9"/>
    </row>
    <row r="10" spans="1:33" s="2" customFormat="1" ht="19.05" customHeight="1" x14ac:dyDescent="0.3">
      <c r="A10" s="9"/>
      <c r="B10" s="17"/>
      <c r="C10" s="44" t="s">
        <v>15</v>
      </c>
      <c r="D10" s="45" t="s">
        <v>24</v>
      </c>
      <c r="E10" s="46" t="s">
        <v>5</v>
      </c>
      <c r="F10" s="9"/>
      <c r="G10" s="93"/>
      <c r="H10" s="96"/>
      <c r="I10" s="9"/>
      <c r="J10" s="78" t="s">
        <v>65</v>
      </c>
      <c r="K10" s="79"/>
      <c r="L10" s="24"/>
      <c r="M10" s="9"/>
      <c r="N10" s="15"/>
      <c r="O10" s="33"/>
      <c r="P10" s="34"/>
      <c r="Q10" s="34"/>
      <c r="R10" s="34"/>
      <c r="S10" s="34"/>
      <c r="T10" s="35"/>
      <c r="U10" s="15"/>
      <c r="V10" s="16" t="s">
        <v>48</v>
      </c>
      <c r="W10" s="76">
        <v>3.2</v>
      </c>
      <c r="X10" s="76">
        <v>96.8</v>
      </c>
      <c r="Y10" s="15"/>
      <c r="Z10" s="15"/>
      <c r="AA10" s="15"/>
      <c r="AB10" s="76"/>
      <c r="AC10" s="77"/>
      <c r="AD10" s="9"/>
      <c r="AE10" s="9"/>
      <c r="AF10" s="9"/>
      <c r="AG10" s="9"/>
    </row>
    <row r="11" spans="1:33" s="2" customFormat="1" ht="19.05" customHeight="1" thickBot="1" x14ac:dyDescent="0.35">
      <c r="A11" s="9"/>
      <c r="B11" s="17"/>
      <c r="C11" s="47"/>
      <c r="D11" s="48" t="s">
        <v>25</v>
      </c>
      <c r="E11" s="49">
        <v>0</v>
      </c>
      <c r="F11" s="9"/>
      <c r="G11" s="94"/>
      <c r="H11" s="97"/>
      <c r="I11" s="9"/>
      <c r="J11" s="80" t="s">
        <v>67</v>
      </c>
      <c r="K11" s="81"/>
      <c r="L11" s="24"/>
      <c r="M11" s="9"/>
      <c r="N11" s="15"/>
      <c r="O11" s="33"/>
      <c r="P11" s="34"/>
      <c r="Q11" s="34"/>
      <c r="R11" s="34"/>
      <c r="S11" s="34"/>
      <c r="T11" s="35"/>
      <c r="U11" s="15"/>
      <c r="V11" s="16" t="s">
        <v>49</v>
      </c>
      <c r="W11" s="76">
        <v>5.4</v>
      </c>
      <c r="X11" s="76">
        <v>94.6</v>
      </c>
      <c r="Y11" s="15"/>
      <c r="Z11" s="15"/>
      <c r="AA11" s="15"/>
      <c r="AB11" s="76"/>
      <c r="AC11" s="77"/>
      <c r="AD11" s="9"/>
      <c r="AE11" s="9"/>
      <c r="AF11" s="9"/>
      <c r="AG11" s="9"/>
    </row>
    <row r="12" spans="1:33" s="2" customFormat="1" ht="19.05" customHeight="1" thickBot="1" x14ac:dyDescent="0.35">
      <c r="A12" s="9"/>
      <c r="B12" s="17"/>
      <c r="C12" s="9"/>
      <c r="D12" s="40"/>
      <c r="E12" s="41"/>
      <c r="F12" s="9"/>
      <c r="G12" s="9"/>
      <c r="H12" s="43"/>
      <c r="I12" s="9"/>
      <c r="J12" s="9"/>
      <c r="K12" s="9"/>
      <c r="L12" s="24"/>
      <c r="M12" s="9"/>
      <c r="N12" s="15"/>
      <c r="O12" s="33"/>
      <c r="P12" s="34"/>
      <c r="Q12" s="34"/>
      <c r="R12" s="34"/>
      <c r="S12" s="34"/>
      <c r="T12" s="35"/>
      <c r="U12" s="15"/>
      <c r="V12" s="16" t="s">
        <v>50</v>
      </c>
      <c r="W12" s="76">
        <v>8.8000000000000007</v>
      </c>
      <c r="X12" s="76">
        <v>91.2</v>
      </c>
      <c r="Y12" s="15"/>
      <c r="Z12" s="15"/>
      <c r="AA12" s="15"/>
      <c r="AB12" s="76"/>
      <c r="AC12" s="77"/>
      <c r="AD12" s="9"/>
      <c r="AE12" s="9"/>
      <c r="AF12" s="9"/>
      <c r="AG12" s="9"/>
    </row>
    <row r="13" spans="1:33" s="2" customFormat="1" ht="19.05" customHeight="1" x14ac:dyDescent="0.3">
      <c r="A13" s="9"/>
      <c r="B13" s="17"/>
      <c r="C13" s="28" t="s">
        <v>16</v>
      </c>
      <c r="D13" s="50" t="s">
        <v>26</v>
      </c>
      <c r="E13" s="51">
        <v>0</v>
      </c>
      <c r="F13" s="9"/>
      <c r="G13" s="90"/>
      <c r="H13" s="95">
        <f>IF(G13&lt;15,0,IF(AND(G13&gt;15,G13&lt;20),1,2))</f>
        <v>0</v>
      </c>
      <c r="I13" s="9"/>
      <c r="J13" s="9"/>
      <c r="K13" s="9"/>
      <c r="L13" s="24"/>
      <c r="M13" s="9"/>
      <c r="N13" s="15"/>
      <c r="O13" s="33"/>
      <c r="P13" s="34"/>
      <c r="Q13" s="34"/>
      <c r="R13" s="34"/>
      <c r="S13" s="34"/>
      <c r="T13" s="35"/>
      <c r="U13" s="15"/>
      <c r="V13" s="16" t="s">
        <v>51</v>
      </c>
      <c r="W13" s="76">
        <v>14.1</v>
      </c>
      <c r="X13" s="76">
        <v>85.9</v>
      </c>
      <c r="Y13" s="15"/>
      <c r="Z13" s="15"/>
      <c r="AA13" s="15"/>
      <c r="AB13" s="76"/>
      <c r="AC13" s="77"/>
      <c r="AD13" s="9"/>
      <c r="AE13" s="9"/>
      <c r="AF13" s="9"/>
      <c r="AG13" s="9"/>
    </row>
    <row r="14" spans="1:33" s="2" customFormat="1" ht="19.05" customHeight="1" x14ac:dyDescent="0.3">
      <c r="A14" s="9"/>
      <c r="B14" s="17"/>
      <c r="C14" s="52" t="s">
        <v>13</v>
      </c>
      <c r="D14" s="53" t="s">
        <v>27</v>
      </c>
      <c r="E14" s="54">
        <v>1</v>
      </c>
      <c r="F14" s="9"/>
      <c r="G14" s="91"/>
      <c r="H14" s="96"/>
      <c r="I14" s="9"/>
      <c r="J14" s="9"/>
      <c r="K14" s="9"/>
      <c r="L14" s="24"/>
      <c r="M14" s="9"/>
      <c r="N14" s="15"/>
      <c r="O14" s="33"/>
      <c r="P14" s="34"/>
      <c r="Q14" s="34"/>
      <c r="R14" s="34"/>
      <c r="S14" s="34"/>
      <c r="T14" s="35"/>
      <c r="U14" s="15"/>
      <c r="V14" s="16" t="s">
        <v>52</v>
      </c>
      <c r="W14" s="76">
        <v>21.9</v>
      </c>
      <c r="X14" s="76">
        <v>78.099999999999994</v>
      </c>
      <c r="Y14" s="15"/>
      <c r="Z14" s="15"/>
      <c r="AA14" s="15"/>
      <c r="AB14" s="76"/>
      <c r="AC14" s="77"/>
      <c r="AD14" s="9"/>
      <c r="AE14" s="9"/>
      <c r="AF14" s="9"/>
      <c r="AG14" s="9"/>
    </row>
    <row r="15" spans="1:33" s="2" customFormat="1" ht="19.05" customHeight="1" thickBot="1" x14ac:dyDescent="0.35">
      <c r="A15" s="9"/>
      <c r="B15" s="17"/>
      <c r="C15" s="47"/>
      <c r="D15" s="37" t="s">
        <v>28</v>
      </c>
      <c r="E15" s="38">
        <v>2</v>
      </c>
      <c r="F15" s="9"/>
      <c r="G15" s="105"/>
      <c r="H15" s="97"/>
      <c r="I15" s="9"/>
      <c r="J15" s="9"/>
      <c r="K15" s="9"/>
      <c r="L15" s="24"/>
      <c r="M15" s="9"/>
      <c r="N15" s="15"/>
      <c r="O15" s="33"/>
      <c r="P15" s="34"/>
      <c r="Q15" s="34"/>
      <c r="R15" s="34"/>
      <c r="S15" s="34"/>
      <c r="T15" s="35"/>
      <c r="U15" s="15"/>
      <c r="V15" s="16" t="s">
        <v>53</v>
      </c>
      <c r="W15" s="76">
        <v>32.299999999999997</v>
      </c>
      <c r="X15" s="76">
        <v>67.7</v>
      </c>
      <c r="Y15" s="15"/>
      <c r="Z15" s="15"/>
      <c r="AA15" s="15"/>
      <c r="AB15" s="76"/>
      <c r="AC15" s="77"/>
      <c r="AD15" s="9"/>
      <c r="AE15" s="9"/>
      <c r="AF15" s="9"/>
      <c r="AG15" s="9"/>
    </row>
    <row r="16" spans="1:33" s="2" customFormat="1" ht="19.05" customHeight="1" thickBot="1" x14ac:dyDescent="0.35">
      <c r="A16" s="9"/>
      <c r="B16" s="17"/>
      <c r="C16" s="9"/>
      <c r="D16" s="40"/>
      <c r="E16" s="41"/>
      <c r="F16" s="9"/>
      <c r="G16" s="55"/>
      <c r="H16" s="43"/>
      <c r="I16" s="9"/>
      <c r="J16" s="9"/>
      <c r="K16" s="9"/>
      <c r="L16" s="24"/>
      <c r="M16" s="9"/>
      <c r="N16" s="15"/>
      <c r="O16" s="56"/>
      <c r="P16" s="57"/>
      <c r="Q16" s="57"/>
      <c r="R16" s="57"/>
      <c r="S16" s="57"/>
      <c r="T16" s="58"/>
      <c r="U16" s="15"/>
      <c r="V16" s="16" t="s">
        <v>54</v>
      </c>
      <c r="W16" s="76">
        <v>44.8</v>
      </c>
      <c r="X16" s="76">
        <v>55.2</v>
      </c>
      <c r="Y16" s="15"/>
      <c r="Z16" s="15"/>
      <c r="AA16" s="15"/>
      <c r="AB16" s="76"/>
      <c r="AC16" s="77"/>
      <c r="AD16" s="9"/>
      <c r="AE16" s="9"/>
      <c r="AF16" s="9"/>
      <c r="AG16" s="9"/>
    </row>
    <row r="17" spans="1:33" s="2" customFormat="1" ht="19.05" customHeight="1" x14ac:dyDescent="0.3">
      <c r="A17" s="9"/>
      <c r="B17" s="17"/>
      <c r="C17" s="28" t="s">
        <v>18</v>
      </c>
      <c r="D17" s="29" t="s">
        <v>68</v>
      </c>
      <c r="E17" s="30">
        <v>4</v>
      </c>
      <c r="F17" s="9"/>
      <c r="G17" s="90"/>
      <c r="H17" s="87" t="str">
        <f>IF(G17="Y",4,IF(G17="N",0,"Invalid"))</f>
        <v>Invalid</v>
      </c>
      <c r="I17" s="9"/>
      <c r="J17" s="9"/>
      <c r="K17" s="9"/>
      <c r="L17" s="24"/>
      <c r="M17" s="9"/>
      <c r="N17" s="15"/>
      <c r="O17" s="15"/>
      <c r="P17" s="15"/>
      <c r="Q17" s="15"/>
      <c r="R17" s="15"/>
      <c r="S17" s="15"/>
      <c r="T17" s="15"/>
      <c r="U17" s="15"/>
      <c r="V17" s="16" t="s">
        <v>55</v>
      </c>
      <c r="W17" s="76">
        <v>58</v>
      </c>
      <c r="X17" s="76">
        <v>42</v>
      </c>
      <c r="Y17" s="15"/>
      <c r="Z17" s="15"/>
      <c r="AA17" s="15"/>
      <c r="AB17" s="76"/>
      <c r="AC17" s="77"/>
      <c r="AD17" s="9"/>
      <c r="AE17" s="9"/>
      <c r="AF17" s="9"/>
      <c r="AG17" s="9"/>
    </row>
    <row r="18" spans="1:33" s="2" customFormat="1" ht="19.05" customHeight="1" thickBot="1" x14ac:dyDescent="0.35">
      <c r="A18" s="9"/>
      <c r="B18" s="17"/>
      <c r="C18" s="36" t="s">
        <v>17</v>
      </c>
      <c r="D18" s="59" t="s">
        <v>69</v>
      </c>
      <c r="E18" s="60">
        <v>0</v>
      </c>
      <c r="F18" s="9"/>
      <c r="G18" s="91"/>
      <c r="H18" s="89"/>
      <c r="I18" s="9"/>
      <c r="J18" s="9"/>
      <c r="K18" s="9"/>
      <c r="L18" s="24"/>
      <c r="M18" s="9"/>
      <c r="N18" s="15"/>
      <c r="O18" s="15"/>
      <c r="P18" s="15"/>
      <c r="Q18" s="15"/>
      <c r="R18" s="15"/>
      <c r="S18" s="15"/>
      <c r="T18" s="15"/>
      <c r="U18" s="15"/>
      <c r="V18" s="16" t="s">
        <v>56</v>
      </c>
      <c r="W18" s="76">
        <v>70.2</v>
      </c>
      <c r="X18" s="76">
        <v>29.8</v>
      </c>
      <c r="Y18" s="15"/>
      <c r="Z18" s="15"/>
      <c r="AA18" s="15"/>
      <c r="AB18" s="76"/>
      <c r="AC18" s="77"/>
      <c r="AD18" s="9"/>
      <c r="AE18" s="9"/>
      <c r="AF18" s="9"/>
      <c r="AG18" s="9"/>
    </row>
    <row r="19" spans="1:33" s="2" customFormat="1" ht="19.05" customHeight="1" thickBot="1" x14ac:dyDescent="0.35">
      <c r="A19" s="9"/>
      <c r="B19" s="17"/>
      <c r="C19" s="9"/>
      <c r="D19" s="40"/>
      <c r="E19" s="41"/>
      <c r="F19" s="9"/>
      <c r="G19" s="42"/>
      <c r="H19" s="43"/>
      <c r="I19" s="9"/>
      <c r="J19" s="9"/>
      <c r="K19" s="9"/>
      <c r="L19" s="24"/>
      <c r="M19" s="9"/>
      <c r="N19" s="9" t="s">
        <v>7</v>
      </c>
      <c r="O19" s="9" t="s">
        <v>36</v>
      </c>
      <c r="P19" s="9"/>
      <c r="Q19" s="9"/>
      <c r="R19" s="9"/>
      <c r="S19" s="9"/>
      <c r="T19" s="9"/>
      <c r="U19" s="9"/>
      <c r="V19" s="16" t="s">
        <v>57</v>
      </c>
      <c r="W19" s="76">
        <v>80</v>
      </c>
      <c r="X19" s="76">
        <v>20</v>
      </c>
      <c r="Y19" s="15"/>
      <c r="Z19" s="15"/>
      <c r="AA19" s="15"/>
      <c r="AB19" s="76"/>
      <c r="AC19" s="77"/>
      <c r="AD19" s="9"/>
      <c r="AE19" s="9"/>
      <c r="AF19" s="9"/>
      <c r="AG19" s="9"/>
    </row>
    <row r="20" spans="1:33" s="2" customFormat="1" ht="19.05" customHeight="1" x14ac:dyDescent="0.3">
      <c r="A20" s="9"/>
      <c r="B20" s="17"/>
      <c r="C20" s="28" t="s">
        <v>19</v>
      </c>
      <c r="D20" s="29" t="s">
        <v>29</v>
      </c>
      <c r="E20" s="30">
        <v>0</v>
      </c>
      <c r="F20" s="9"/>
      <c r="G20" s="92"/>
      <c r="H20" s="95">
        <f>IF(G20&lt;=10,0,IF(AND(G20&gt;10,G20&lt;=30),1,2))</f>
        <v>0</v>
      </c>
      <c r="I20" s="9"/>
      <c r="J20" s="9"/>
      <c r="K20" s="9"/>
      <c r="L20" s="24"/>
      <c r="M20" s="9"/>
      <c r="N20" s="9"/>
      <c r="O20" s="9" t="s">
        <v>37</v>
      </c>
      <c r="P20" s="9"/>
      <c r="Q20" s="9"/>
      <c r="R20" s="9"/>
      <c r="S20" s="9"/>
      <c r="T20" s="9"/>
      <c r="U20" s="9"/>
      <c r="V20" s="16" t="s">
        <v>58</v>
      </c>
      <c r="W20" s="76">
        <v>87.2</v>
      </c>
      <c r="X20" s="76">
        <v>12.8</v>
      </c>
      <c r="Y20" s="15"/>
      <c r="Z20" s="15"/>
      <c r="AA20" s="15"/>
      <c r="AB20" s="76"/>
      <c r="AC20" s="77"/>
      <c r="AD20" s="9"/>
      <c r="AE20" s="9"/>
      <c r="AF20" s="9"/>
      <c r="AG20" s="9"/>
    </row>
    <row r="21" spans="1:33" s="2" customFormat="1" ht="19.05" customHeight="1" thickBot="1" x14ac:dyDescent="0.35">
      <c r="A21" s="9"/>
      <c r="B21" s="17"/>
      <c r="C21" s="61" t="s">
        <v>10</v>
      </c>
      <c r="D21" s="62" t="s">
        <v>30</v>
      </c>
      <c r="E21" s="46">
        <v>1</v>
      </c>
      <c r="F21" s="9"/>
      <c r="G21" s="93"/>
      <c r="H21" s="96"/>
      <c r="I21" s="9"/>
      <c r="J21" s="9"/>
      <c r="K21" s="9"/>
      <c r="L21" s="24"/>
      <c r="M21" s="9"/>
      <c r="N21" s="9"/>
      <c r="O21" s="9" t="s">
        <v>38</v>
      </c>
      <c r="P21" s="9"/>
      <c r="Q21" s="9"/>
      <c r="R21" s="9"/>
      <c r="S21" s="9"/>
      <c r="T21" s="9"/>
      <c r="U21" s="9"/>
      <c r="V21" s="16" t="s">
        <v>59</v>
      </c>
      <c r="W21" s="76">
        <v>92.1</v>
      </c>
      <c r="X21" s="76">
        <v>7.9</v>
      </c>
      <c r="Y21" s="15"/>
      <c r="Z21" s="15"/>
      <c r="AA21" s="15"/>
      <c r="AB21" s="76"/>
      <c r="AC21" s="77"/>
      <c r="AD21" s="9"/>
      <c r="AE21" s="9"/>
      <c r="AF21" s="9"/>
      <c r="AG21" s="9"/>
    </row>
    <row r="22" spans="1:33" s="2" customFormat="1" ht="19.05" customHeight="1" thickBot="1" x14ac:dyDescent="0.35">
      <c r="A22" s="9"/>
      <c r="B22" s="17"/>
      <c r="C22" s="47"/>
      <c r="D22" s="48" t="s">
        <v>31</v>
      </c>
      <c r="E22" s="49">
        <v>2</v>
      </c>
      <c r="F22" s="9"/>
      <c r="G22" s="94"/>
      <c r="H22" s="97"/>
      <c r="I22" s="9"/>
      <c r="J22" s="98" t="s">
        <v>8</v>
      </c>
      <c r="K22" s="99"/>
      <c r="L22" s="24"/>
      <c r="M22" s="9"/>
      <c r="N22" s="9"/>
      <c r="O22" s="9" t="s">
        <v>73</v>
      </c>
      <c r="P22" s="9"/>
      <c r="Q22" s="9"/>
      <c r="R22" s="9"/>
      <c r="S22" s="9"/>
      <c r="T22" s="9"/>
      <c r="U22" s="9"/>
      <c r="V22" s="16" t="s">
        <v>60</v>
      </c>
      <c r="W22" s="76">
        <v>95.2</v>
      </c>
      <c r="X22" s="76">
        <v>4.8</v>
      </c>
      <c r="Y22" s="15"/>
      <c r="Z22" s="15"/>
      <c r="AA22" s="15"/>
      <c r="AB22" s="76"/>
      <c r="AC22" s="77"/>
      <c r="AD22" s="9"/>
      <c r="AE22" s="9"/>
      <c r="AF22" s="9"/>
      <c r="AG22" s="9"/>
    </row>
    <row r="23" spans="1:33" s="2" customFormat="1" ht="19.05" customHeight="1" thickBot="1" x14ac:dyDescent="0.35">
      <c r="A23" s="9"/>
      <c r="B23" s="17"/>
      <c r="C23" s="9"/>
      <c r="D23" s="40"/>
      <c r="E23" s="41"/>
      <c r="F23" s="9"/>
      <c r="G23" s="9"/>
      <c r="H23" s="43"/>
      <c r="I23" s="9"/>
      <c r="J23" s="100"/>
      <c r="K23" s="101"/>
      <c r="L23" s="24"/>
      <c r="M23" s="9"/>
      <c r="N23" s="9" t="s">
        <v>9</v>
      </c>
      <c r="O23" s="9" t="s">
        <v>41</v>
      </c>
      <c r="P23" s="9"/>
      <c r="Q23" s="9"/>
      <c r="R23" s="9"/>
      <c r="S23" s="9"/>
      <c r="T23" s="9"/>
      <c r="U23" s="9"/>
      <c r="V23" s="16" t="s">
        <v>61</v>
      </c>
      <c r="W23" s="76">
        <v>97.1</v>
      </c>
      <c r="X23" s="76">
        <v>2.9</v>
      </c>
      <c r="Y23" s="15"/>
      <c r="Z23" s="15"/>
      <c r="AA23" s="15"/>
      <c r="AB23" s="76"/>
      <c r="AC23" s="77"/>
      <c r="AD23" s="9"/>
      <c r="AE23" s="9"/>
      <c r="AF23" s="9"/>
      <c r="AG23" s="9"/>
    </row>
    <row r="24" spans="1:33" s="2" customFormat="1" ht="19.05" customHeight="1" x14ac:dyDescent="0.3">
      <c r="A24" s="9"/>
      <c r="B24" s="17"/>
      <c r="C24" s="28" t="s">
        <v>20</v>
      </c>
      <c r="D24" s="50" t="s">
        <v>70</v>
      </c>
      <c r="E24" s="51">
        <v>0</v>
      </c>
      <c r="F24" s="9"/>
      <c r="G24" s="84"/>
      <c r="H24" s="87" t="str">
        <f>IF(G24="BN",0,IF(G24="BA",4.5,IF(G24="UA",6.5,"Invalid")))</f>
        <v>Invalid</v>
      </c>
      <c r="I24" s="9"/>
      <c r="J24" s="63" t="s">
        <v>34</v>
      </c>
      <c r="K24" s="64">
        <f>IF(AND(J6&gt;=0,J6&lt;=1),W5,IF(AND(J6&gt;1,J6&lt;=2),W6,IF(AND(J6&gt;2,J6&lt;=3),W7,IF(AND(J6&gt;3,J6&lt;=4),W8,IF(AND(J6&gt;4,J6&lt;=5),W9,IF(AND(J6&gt;5,J6&lt;=6),W10,IF(AND(J6&gt;6,J6&lt;=7),W11,IF(AND(J6&gt;7,J6&lt;=8),W12,IF(AND(J6&gt;8,J6&lt;=9),W13,IF(AND(J6&gt;9,J6&lt;=10),W14,IF(AND(J6&gt;10,J6&lt;=11),W15,IF(AND(J6&gt;11,J6&lt;=12),W16,IF(AND(J6&gt;12,J6&lt;=13),W17,IF(AND(J6&gt;13,J6&lt;=14),W18,IF(AND(J6&gt;14,J6&lt;=15),W19,IF(AND(J6&gt;15,J6&lt;=16),W20,IF(AND(J6&gt;16,J6&lt;=17),W21,IF(AND(J6&gt;17,J6&lt;=18),W22,IF(AND(J6&gt;18,J6&lt;=19),W23,W24)))))))))))))))))))</f>
        <v>98.3</v>
      </c>
      <c r="L24" s="24"/>
      <c r="M24" s="9"/>
      <c r="N24" s="9"/>
      <c r="O24" s="9" t="s">
        <v>39</v>
      </c>
      <c r="P24" s="9"/>
      <c r="Q24" s="9"/>
      <c r="R24" s="9"/>
      <c r="S24" s="9"/>
      <c r="T24" s="9"/>
      <c r="U24" s="9"/>
      <c r="V24" s="16" t="s">
        <v>62</v>
      </c>
      <c r="W24" s="76">
        <v>98.3</v>
      </c>
      <c r="X24" s="76">
        <v>1.7</v>
      </c>
      <c r="Y24" s="15"/>
      <c r="Z24" s="15"/>
      <c r="AA24" s="15"/>
      <c r="AB24" s="76"/>
      <c r="AC24" s="77"/>
      <c r="AD24" s="9"/>
      <c r="AE24" s="9"/>
      <c r="AF24" s="9"/>
      <c r="AG24" s="9"/>
    </row>
    <row r="25" spans="1:33" s="2" customFormat="1" ht="19.05" customHeight="1" thickBot="1" x14ac:dyDescent="0.35">
      <c r="A25" s="9"/>
      <c r="B25" s="17"/>
      <c r="C25" s="65"/>
      <c r="D25" s="66" t="s">
        <v>71</v>
      </c>
      <c r="E25" s="54" t="s">
        <v>32</v>
      </c>
      <c r="F25" s="9"/>
      <c r="G25" s="85"/>
      <c r="H25" s="88"/>
      <c r="I25" s="9"/>
      <c r="J25" s="67" t="s">
        <v>35</v>
      </c>
      <c r="K25" s="68">
        <f>IF(AND(J6&gt;=0,J6&lt;=1),X5,IF(AND(J6&gt;1,J6&lt;=2),X6,IF(AND(J6&gt;2,J6&lt;=3),X7,IF(AND(J6&gt;3,J6&lt;=4),X8,IF(AND(J6&gt;4,J6&lt;=5),X9,IF(AND(J6&gt;5,J6&lt;=6),X10,IF(AND(J6&gt;6,J6&lt;=7),X11,IF(AND(J6&gt;7,J6&lt;=8),X12,IF(AND(J6&gt;8,J6&lt;=9),X13,IF(AND(J6&gt;9,J6&lt;=10),X14,IF(AND(J6&gt;10,J6&lt;=11),X15,IF(AND(J6&gt;11,J6&lt;=12),X16,IF(AND(J6&gt;12,J6&lt;=13),X17,IF(AND(J6&gt;13,J6&lt;=14),X18,IF(AND(J6&gt;14,J6&lt;=15),X19,IF(AND(J6&gt;15,J6&lt;=16),X20,IF(AND(J6&gt;16,J6&lt;=17),X21,IF(AND(J6&gt;17,J6&lt;=18),X22,IF(AND(J6&gt;18,J6&lt;=19),X23,X24)))))))))))))))))))</f>
        <v>1.7</v>
      </c>
      <c r="L25" s="24"/>
      <c r="M25" s="9"/>
      <c r="N25" s="9" t="s">
        <v>11</v>
      </c>
      <c r="O25" s="9" t="s">
        <v>40</v>
      </c>
      <c r="P25" s="9"/>
      <c r="Q25" s="9"/>
      <c r="R25" s="9"/>
      <c r="S25" s="9"/>
      <c r="T25" s="9"/>
      <c r="U25" s="9"/>
      <c r="V25" s="16"/>
      <c r="W25" s="16"/>
      <c r="X25" s="16"/>
      <c r="Y25" s="15"/>
      <c r="Z25" s="15"/>
      <c r="AA25" s="15"/>
      <c r="AB25" s="16"/>
      <c r="AC25" s="9"/>
      <c r="AD25" s="9"/>
      <c r="AE25" s="9"/>
      <c r="AF25" s="9"/>
      <c r="AG25" s="9"/>
    </row>
    <row r="26" spans="1:33" s="2" customFormat="1" ht="19.05" customHeight="1" thickBot="1" x14ac:dyDescent="0.35">
      <c r="A26" s="9"/>
      <c r="B26" s="17"/>
      <c r="C26" s="47"/>
      <c r="D26" s="37" t="s">
        <v>72</v>
      </c>
      <c r="E26" s="38" t="s">
        <v>33</v>
      </c>
      <c r="F26" s="9"/>
      <c r="G26" s="86"/>
      <c r="H26" s="89"/>
      <c r="I26" s="9"/>
      <c r="J26" s="69"/>
      <c r="K26" s="70"/>
      <c r="L26" s="24"/>
      <c r="M26" s="9"/>
      <c r="N26" s="9"/>
      <c r="O26" s="9"/>
      <c r="P26" s="9"/>
      <c r="Q26" s="9"/>
      <c r="R26" s="9"/>
      <c r="S26" s="9"/>
      <c r="T26" s="9"/>
      <c r="U26" s="9"/>
      <c r="V26" s="16"/>
      <c r="W26" s="16"/>
      <c r="X26" s="16"/>
      <c r="Y26" s="15"/>
      <c r="Z26" s="15"/>
      <c r="AA26" s="15"/>
      <c r="AB26" s="16"/>
      <c r="AC26" s="9"/>
      <c r="AD26" s="9"/>
      <c r="AE26" s="9"/>
      <c r="AF26" s="9"/>
      <c r="AG26" s="9"/>
    </row>
    <row r="27" spans="1:33" s="2" customFormat="1" ht="19.05" customHeight="1" thickBot="1" x14ac:dyDescent="0.35">
      <c r="A27" s="9"/>
      <c r="B27" s="71"/>
      <c r="C27" s="72"/>
      <c r="D27" s="72"/>
      <c r="E27" s="73"/>
      <c r="F27" s="72"/>
      <c r="G27" s="72"/>
      <c r="H27" s="72"/>
      <c r="I27" s="72"/>
      <c r="J27" s="72"/>
      <c r="K27" s="72"/>
      <c r="L27" s="74"/>
      <c r="M27" s="9"/>
      <c r="N27" s="9"/>
      <c r="O27" s="9"/>
      <c r="P27" s="9"/>
      <c r="Q27" s="9"/>
      <c r="R27" s="9"/>
      <c r="S27" s="9"/>
      <c r="T27" s="9"/>
      <c r="U27" s="9"/>
      <c r="V27" s="15"/>
      <c r="W27" s="15"/>
      <c r="X27" s="15"/>
      <c r="Y27" s="15"/>
      <c r="Z27" s="15"/>
      <c r="AA27" s="15"/>
      <c r="AB27" s="16"/>
      <c r="AC27" s="9"/>
      <c r="AD27" s="9"/>
      <c r="AE27" s="9"/>
      <c r="AF27" s="9"/>
      <c r="AG27" s="9"/>
    </row>
    <row r="28" spans="1:33" x14ac:dyDescent="0.3">
      <c r="A28" s="5"/>
      <c r="B28" s="5"/>
      <c r="C28" s="5"/>
      <c r="D28" s="5"/>
      <c r="E28" s="6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4"/>
      <c r="W28" s="4"/>
      <c r="X28" s="4"/>
      <c r="Y28" s="4"/>
      <c r="Z28" s="4"/>
      <c r="AA28" s="4"/>
      <c r="AB28" s="7"/>
      <c r="AC28" s="5"/>
      <c r="AD28" s="5"/>
      <c r="AE28" s="5"/>
      <c r="AF28" s="5"/>
      <c r="AG28" s="5"/>
    </row>
    <row r="29" spans="1:33" x14ac:dyDescent="0.3">
      <c r="A29" s="5"/>
      <c r="B29" s="5"/>
      <c r="C29" s="5"/>
      <c r="D29" s="5"/>
      <c r="E29" s="6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7"/>
      <c r="W29" s="7"/>
      <c r="X29" s="7"/>
      <c r="Y29" s="7"/>
      <c r="Z29" s="7"/>
      <c r="AA29" s="7"/>
      <c r="AB29" s="7"/>
      <c r="AC29" s="5"/>
      <c r="AD29" s="5"/>
      <c r="AE29" s="5"/>
      <c r="AF29" s="5"/>
      <c r="AG29" s="5"/>
    </row>
    <row r="30" spans="1:33" x14ac:dyDescent="0.3">
      <c r="A30" s="5"/>
      <c r="B30" s="5"/>
      <c r="C30" s="5"/>
      <c r="D30" s="5"/>
      <c r="E30" s="6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7"/>
      <c r="W30" s="7"/>
      <c r="X30" s="7"/>
      <c r="Y30" s="7"/>
      <c r="Z30" s="7"/>
      <c r="AA30" s="7"/>
      <c r="AB30" s="7"/>
      <c r="AC30" s="5"/>
      <c r="AD30" s="5"/>
      <c r="AE30" s="5"/>
      <c r="AF30" s="5"/>
      <c r="AG30" s="5"/>
    </row>
    <row r="31" spans="1:33" x14ac:dyDescent="0.3">
      <c r="A31" s="5"/>
      <c r="B31" s="5"/>
      <c r="C31" s="5"/>
      <c r="D31" s="5"/>
      <c r="E31" s="6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7"/>
      <c r="W31" s="7"/>
      <c r="X31" s="7"/>
      <c r="Y31" s="7"/>
      <c r="Z31" s="7"/>
      <c r="AA31" s="7"/>
      <c r="AB31" s="7"/>
      <c r="AC31" s="5"/>
      <c r="AD31" s="5"/>
      <c r="AE31" s="5"/>
      <c r="AF31" s="5"/>
      <c r="AG31" s="5"/>
    </row>
    <row r="32" spans="1:33" x14ac:dyDescent="0.3">
      <c r="A32" s="5"/>
      <c r="B32" s="5"/>
      <c r="C32" s="75"/>
      <c r="D32" s="5"/>
      <c r="E32" s="6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4"/>
      <c r="W32" s="4"/>
      <c r="X32" s="4"/>
      <c r="Y32" s="4"/>
      <c r="Z32" s="4"/>
      <c r="AA32" s="4"/>
      <c r="AB32" s="4"/>
      <c r="AC32" s="5"/>
      <c r="AD32" s="5"/>
      <c r="AE32" s="5"/>
      <c r="AF32" s="5"/>
      <c r="AG32" s="5"/>
    </row>
    <row r="33" spans="1:33" x14ac:dyDescent="0.3">
      <c r="A33" s="5"/>
      <c r="B33" s="5"/>
      <c r="C33" s="5"/>
      <c r="D33" s="5"/>
      <c r="E33" s="6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4"/>
      <c r="W33" s="4"/>
      <c r="X33" s="4"/>
      <c r="Y33" s="4"/>
      <c r="Z33" s="4"/>
      <c r="AA33" s="4"/>
      <c r="AB33" s="4"/>
      <c r="AC33" s="5"/>
      <c r="AD33" s="5"/>
      <c r="AE33" s="5"/>
      <c r="AF33" s="5"/>
      <c r="AG33" s="5"/>
    </row>
    <row r="34" spans="1:33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4"/>
      <c r="W34" s="4"/>
      <c r="X34" s="4"/>
      <c r="Y34" s="4"/>
      <c r="Z34" s="4"/>
      <c r="AA34" s="4"/>
      <c r="AB34" s="4"/>
      <c r="AC34" s="5"/>
      <c r="AD34" s="5"/>
      <c r="AE34" s="5"/>
      <c r="AF34" s="5"/>
      <c r="AG34" s="5"/>
    </row>
    <row r="35" spans="1:33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4"/>
      <c r="W35" s="4"/>
      <c r="X35" s="4"/>
      <c r="Y35" s="4"/>
      <c r="Z35" s="4"/>
      <c r="AA35" s="4"/>
      <c r="AB35" s="4"/>
      <c r="AC35" s="5"/>
      <c r="AD35" s="5"/>
      <c r="AE35" s="5"/>
      <c r="AF35" s="5"/>
      <c r="AG35" s="5"/>
    </row>
    <row r="36" spans="1:33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4"/>
      <c r="W36" s="4"/>
      <c r="X36" s="4"/>
      <c r="Y36" s="4"/>
      <c r="Z36" s="4"/>
      <c r="AA36" s="4"/>
      <c r="AB36" s="4"/>
      <c r="AC36" s="5"/>
      <c r="AD36" s="5"/>
      <c r="AE36" s="5"/>
      <c r="AF36" s="5"/>
      <c r="AG36" s="5"/>
    </row>
    <row r="37" spans="1:33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4"/>
      <c r="W37" s="4"/>
      <c r="X37" s="4"/>
      <c r="Y37" s="4"/>
      <c r="Z37" s="4"/>
      <c r="AA37" s="4"/>
      <c r="AB37" s="4"/>
      <c r="AC37" s="5"/>
      <c r="AD37" s="5"/>
      <c r="AE37" s="5"/>
      <c r="AF37" s="5"/>
      <c r="AG37" s="5"/>
    </row>
    <row r="38" spans="1:33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4"/>
      <c r="W38" s="4"/>
      <c r="X38" s="4"/>
      <c r="Y38" s="4"/>
      <c r="Z38" s="4"/>
      <c r="AA38" s="4"/>
      <c r="AB38" s="4"/>
      <c r="AC38" s="5"/>
      <c r="AD38" s="5"/>
      <c r="AE38" s="5"/>
      <c r="AF38" s="5"/>
      <c r="AG38" s="5"/>
    </row>
    <row r="39" spans="1:33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4"/>
      <c r="W39" s="4"/>
      <c r="X39" s="4"/>
      <c r="Y39" s="4"/>
      <c r="Z39" s="4"/>
      <c r="AA39" s="4"/>
      <c r="AB39" s="4"/>
      <c r="AC39" s="5"/>
      <c r="AD39" s="5"/>
      <c r="AE39" s="5"/>
      <c r="AF39" s="5"/>
      <c r="AG39" s="5"/>
    </row>
    <row r="40" spans="1:33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4"/>
      <c r="W40" s="4"/>
      <c r="X40" s="4"/>
      <c r="Y40" s="4"/>
      <c r="Z40" s="4"/>
      <c r="AA40" s="4"/>
      <c r="AB40" s="4"/>
      <c r="AC40" s="5"/>
      <c r="AD40" s="5"/>
      <c r="AE40" s="5"/>
      <c r="AF40" s="5"/>
      <c r="AG40" s="5"/>
    </row>
    <row r="41" spans="1:33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5"/>
      <c r="AD41" s="5"/>
      <c r="AE41" s="5"/>
      <c r="AF41" s="5"/>
      <c r="AG41" s="5"/>
    </row>
    <row r="42" spans="1:33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4"/>
      <c r="W42" s="4"/>
      <c r="X42" s="4"/>
      <c r="Y42" s="4"/>
      <c r="Z42" s="4"/>
      <c r="AA42" s="4"/>
      <c r="AB42" s="4"/>
      <c r="AC42" s="5"/>
      <c r="AD42" s="5"/>
      <c r="AE42" s="5"/>
      <c r="AF42" s="5"/>
      <c r="AG42" s="5"/>
    </row>
    <row r="43" spans="1:33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4"/>
      <c r="W43" s="4"/>
      <c r="X43" s="4"/>
      <c r="Y43" s="4"/>
      <c r="Z43" s="4"/>
      <c r="AA43" s="4"/>
      <c r="AB43" s="4"/>
      <c r="AC43" s="5"/>
      <c r="AD43" s="5"/>
      <c r="AE43" s="5"/>
      <c r="AF43" s="5"/>
      <c r="AG43" s="5"/>
    </row>
    <row r="44" spans="1:33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4"/>
      <c r="W44" s="4"/>
      <c r="X44" s="4"/>
      <c r="Y44" s="4"/>
      <c r="Z44" s="4"/>
      <c r="AA44" s="4"/>
      <c r="AB44" s="4"/>
      <c r="AC44" s="5"/>
      <c r="AD44" s="5"/>
      <c r="AE44" s="5"/>
      <c r="AF44" s="5"/>
      <c r="AG44" s="5"/>
    </row>
    <row r="45" spans="1:33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4"/>
      <c r="W45" s="4"/>
      <c r="X45" s="4"/>
      <c r="Y45" s="4"/>
      <c r="Z45" s="4"/>
      <c r="AA45" s="4"/>
      <c r="AB45" s="4"/>
      <c r="AC45" s="5"/>
      <c r="AD45" s="5"/>
      <c r="AE45" s="5"/>
      <c r="AF45" s="5"/>
      <c r="AG45" s="5"/>
    </row>
    <row r="46" spans="1:33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4"/>
      <c r="W46" s="4"/>
      <c r="X46" s="4"/>
      <c r="Y46" s="4"/>
      <c r="Z46" s="4"/>
      <c r="AA46" s="4"/>
      <c r="AB46" s="4"/>
      <c r="AC46" s="5"/>
      <c r="AD46" s="5"/>
      <c r="AE46" s="5"/>
      <c r="AF46" s="5"/>
      <c r="AG46" s="5"/>
    </row>
    <row r="47" spans="1:33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4"/>
      <c r="W47" s="4"/>
      <c r="X47" s="4"/>
      <c r="Y47" s="4"/>
      <c r="Z47" s="4"/>
      <c r="AA47" s="4"/>
      <c r="AB47" s="4"/>
      <c r="AC47" s="5"/>
      <c r="AD47" s="5"/>
      <c r="AE47" s="5"/>
      <c r="AF47" s="5"/>
      <c r="AG47" s="5"/>
    </row>
    <row r="48" spans="1:33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4"/>
      <c r="W48" s="4"/>
      <c r="X48" s="4"/>
      <c r="Y48" s="4"/>
      <c r="Z48" s="4"/>
      <c r="AA48" s="4"/>
      <c r="AB48" s="4"/>
      <c r="AC48" s="5"/>
      <c r="AD48" s="5"/>
      <c r="AE48" s="5"/>
      <c r="AF48" s="5"/>
      <c r="AG48" s="5"/>
    </row>
    <row r="49" spans="1:33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4"/>
      <c r="W49" s="4"/>
      <c r="X49" s="4"/>
      <c r="Y49" s="4"/>
      <c r="Z49" s="4"/>
      <c r="AA49" s="4"/>
      <c r="AB49" s="4"/>
      <c r="AC49" s="5"/>
      <c r="AD49" s="5"/>
      <c r="AE49" s="5"/>
      <c r="AF49" s="5"/>
      <c r="AG49" s="5"/>
    </row>
    <row r="50" spans="1:33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4"/>
      <c r="W50" s="4"/>
      <c r="X50" s="4"/>
      <c r="Y50" s="4"/>
      <c r="Z50" s="4"/>
      <c r="AA50" s="4"/>
      <c r="AB50" s="4"/>
      <c r="AC50" s="5"/>
      <c r="AD50" s="5"/>
      <c r="AE50" s="5"/>
      <c r="AF50" s="5"/>
      <c r="AG50" s="5"/>
    </row>
    <row r="51" spans="1:33" x14ac:dyDescent="0.3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4"/>
      <c r="W51" s="4"/>
      <c r="X51" s="4"/>
      <c r="Y51" s="4"/>
      <c r="Z51" s="4"/>
      <c r="AA51" s="4"/>
      <c r="AB51" s="4"/>
      <c r="AC51" s="5"/>
      <c r="AD51" s="5"/>
      <c r="AE51" s="5"/>
      <c r="AF51" s="5"/>
      <c r="AG51" s="5"/>
    </row>
    <row r="52" spans="1:33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4"/>
      <c r="W52" s="4"/>
      <c r="X52" s="4"/>
      <c r="Y52" s="4"/>
      <c r="Z52" s="4"/>
      <c r="AA52" s="4"/>
      <c r="AB52" s="4"/>
      <c r="AC52" s="5"/>
      <c r="AD52" s="5"/>
      <c r="AE52" s="5"/>
      <c r="AF52" s="5"/>
      <c r="AG52" s="5"/>
    </row>
    <row r="53" spans="1:33" x14ac:dyDescent="0.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4"/>
      <c r="W53" s="4"/>
      <c r="X53" s="4"/>
      <c r="Y53" s="4"/>
      <c r="Z53" s="4"/>
      <c r="AA53" s="4"/>
      <c r="AB53" s="4"/>
      <c r="AC53" s="5"/>
      <c r="AD53" s="5"/>
      <c r="AE53" s="5"/>
      <c r="AF53" s="5"/>
      <c r="AG53" s="5"/>
    </row>
    <row r="54" spans="1:33" x14ac:dyDescent="0.3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4"/>
      <c r="W54" s="4"/>
      <c r="X54" s="4"/>
      <c r="Y54" s="4"/>
      <c r="Z54" s="4"/>
      <c r="AA54" s="4"/>
      <c r="AB54" s="4"/>
      <c r="AC54" s="5"/>
      <c r="AD54" s="5"/>
      <c r="AE54" s="5"/>
      <c r="AF54" s="5"/>
      <c r="AG54" s="5"/>
    </row>
    <row r="55" spans="1:33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4"/>
      <c r="W55" s="4"/>
      <c r="X55" s="4"/>
      <c r="Y55" s="4"/>
      <c r="Z55" s="4"/>
      <c r="AA55" s="4"/>
      <c r="AB55" s="4"/>
      <c r="AC55" s="5"/>
      <c r="AD55" s="5"/>
      <c r="AE55" s="5"/>
      <c r="AF55" s="5"/>
      <c r="AG55" s="5"/>
    </row>
    <row r="56" spans="1:33" x14ac:dyDescent="0.3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4"/>
      <c r="W56" s="4"/>
      <c r="X56" s="4"/>
      <c r="Y56" s="4"/>
      <c r="Z56" s="4"/>
      <c r="AA56" s="4"/>
      <c r="AB56" s="4"/>
      <c r="AC56" s="5"/>
      <c r="AD56" s="5"/>
      <c r="AE56" s="5"/>
      <c r="AF56" s="5"/>
      <c r="AG56" s="5"/>
    </row>
    <row r="57" spans="1:33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4"/>
      <c r="W57" s="4"/>
      <c r="X57" s="4"/>
      <c r="Y57" s="4"/>
      <c r="Z57" s="4"/>
      <c r="AA57" s="4"/>
      <c r="AB57" s="4"/>
      <c r="AC57" s="5"/>
      <c r="AD57" s="5"/>
      <c r="AE57" s="5"/>
      <c r="AF57" s="5"/>
      <c r="AG57" s="5"/>
    </row>
    <row r="58" spans="1:33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4"/>
      <c r="W58" s="4"/>
      <c r="X58" s="4"/>
      <c r="Y58" s="4"/>
      <c r="Z58" s="4"/>
      <c r="AA58" s="4"/>
      <c r="AB58" s="4"/>
      <c r="AC58" s="5"/>
      <c r="AD58" s="5"/>
      <c r="AE58" s="5"/>
      <c r="AF58" s="5"/>
      <c r="AG58" s="5"/>
    </row>
    <row r="59" spans="1:33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4"/>
      <c r="W59" s="4"/>
      <c r="X59" s="4"/>
      <c r="Y59" s="4"/>
      <c r="Z59" s="4"/>
      <c r="AA59" s="4"/>
      <c r="AB59" s="4"/>
      <c r="AC59" s="5"/>
      <c r="AD59" s="5"/>
      <c r="AE59" s="5"/>
      <c r="AF59" s="5"/>
      <c r="AG59" s="5"/>
    </row>
    <row r="60" spans="1:33" x14ac:dyDescent="0.3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4"/>
      <c r="W60" s="4"/>
      <c r="X60" s="4"/>
      <c r="Y60" s="4"/>
      <c r="Z60" s="4"/>
      <c r="AA60" s="4"/>
      <c r="AB60" s="4"/>
      <c r="AC60" s="5"/>
      <c r="AD60" s="5"/>
      <c r="AE60" s="5"/>
      <c r="AF60" s="5"/>
      <c r="AG60" s="5"/>
    </row>
    <row r="61" spans="1:33" x14ac:dyDescent="0.3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4"/>
      <c r="W61" s="4"/>
      <c r="X61" s="4"/>
      <c r="Y61" s="4"/>
      <c r="Z61" s="4"/>
      <c r="AA61" s="4"/>
      <c r="AB61" s="4"/>
      <c r="AC61" s="5"/>
      <c r="AD61" s="5"/>
      <c r="AE61" s="5"/>
      <c r="AF61" s="5"/>
      <c r="AG61" s="5"/>
    </row>
    <row r="62" spans="1:33" x14ac:dyDescent="0.3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4"/>
      <c r="W62" s="4"/>
      <c r="X62" s="4"/>
      <c r="Y62" s="4"/>
      <c r="Z62" s="4"/>
      <c r="AA62" s="4"/>
      <c r="AB62" s="4"/>
      <c r="AC62" s="5"/>
      <c r="AD62" s="5"/>
      <c r="AE62" s="5"/>
      <c r="AF62" s="5"/>
      <c r="AG62" s="5"/>
    </row>
    <row r="63" spans="1:33" x14ac:dyDescent="0.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4"/>
      <c r="W63" s="4"/>
      <c r="X63" s="4"/>
      <c r="Y63" s="4"/>
      <c r="Z63" s="4"/>
      <c r="AA63" s="4"/>
      <c r="AB63" s="4"/>
      <c r="AC63" s="5"/>
      <c r="AD63" s="5"/>
      <c r="AE63" s="5"/>
      <c r="AF63" s="5"/>
      <c r="AG63" s="5"/>
    </row>
    <row r="64" spans="1:33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4"/>
      <c r="W64" s="4"/>
      <c r="X64" s="4"/>
      <c r="Y64" s="4"/>
      <c r="Z64" s="4"/>
      <c r="AA64" s="4"/>
      <c r="AB64" s="4"/>
      <c r="AC64" s="5"/>
      <c r="AD64" s="5"/>
      <c r="AE64" s="5"/>
      <c r="AF64" s="5"/>
      <c r="AG64" s="5"/>
    </row>
    <row r="65" spans="1:33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4"/>
      <c r="W65" s="4"/>
      <c r="X65" s="4"/>
      <c r="Y65" s="4"/>
      <c r="Z65" s="4"/>
      <c r="AA65" s="4"/>
      <c r="AB65" s="4"/>
      <c r="AC65" s="5"/>
      <c r="AD65" s="5"/>
      <c r="AE65" s="5"/>
      <c r="AF65" s="5"/>
      <c r="AG65" s="5"/>
    </row>
    <row r="66" spans="1:33" x14ac:dyDescent="0.3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4"/>
      <c r="W66" s="4"/>
      <c r="X66" s="4"/>
      <c r="Y66" s="4"/>
      <c r="Z66" s="4"/>
      <c r="AA66" s="4"/>
      <c r="AB66" s="4"/>
      <c r="AC66" s="5"/>
      <c r="AD66" s="5"/>
      <c r="AE66" s="5"/>
      <c r="AF66" s="5"/>
      <c r="AG66" s="5"/>
    </row>
    <row r="67" spans="1:33" x14ac:dyDescent="0.3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4"/>
      <c r="W67" s="4"/>
      <c r="X67" s="4"/>
      <c r="Y67" s="4"/>
      <c r="Z67" s="4"/>
      <c r="AA67" s="4"/>
      <c r="AB67" s="4"/>
      <c r="AC67" s="5"/>
      <c r="AD67" s="5"/>
      <c r="AE67" s="5"/>
      <c r="AF67" s="5"/>
      <c r="AG67" s="5"/>
    </row>
    <row r="68" spans="1:33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4"/>
      <c r="W68" s="4"/>
      <c r="X68" s="4"/>
      <c r="Y68" s="4"/>
      <c r="Z68" s="4"/>
      <c r="AA68" s="4"/>
      <c r="AB68" s="4"/>
      <c r="AC68" s="5"/>
      <c r="AD68" s="5"/>
      <c r="AE68" s="5"/>
      <c r="AF68" s="5"/>
      <c r="AG68" s="5"/>
    </row>
    <row r="69" spans="1:33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4"/>
      <c r="W69" s="4"/>
      <c r="X69" s="4"/>
      <c r="Y69" s="4"/>
      <c r="Z69" s="4"/>
      <c r="AA69" s="4"/>
      <c r="AB69" s="4"/>
      <c r="AC69" s="5"/>
      <c r="AD69" s="5"/>
      <c r="AE69" s="5"/>
      <c r="AF69" s="5"/>
      <c r="AG69" s="5"/>
    </row>
    <row r="70" spans="1:33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4"/>
      <c r="W70" s="4"/>
      <c r="X70" s="4"/>
      <c r="Y70" s="4"/>
      <c r="Z70" s="4"/>
      <c r="AA70" s="4"/>
      <c r="AB70" s="4"/>
      <c r="AC70" s="5"/>
      <c r="AD70" s="5"/>
      <c r="AE70" s="5"/>
      <c r="AF70" s="5"/>
      <c r="AG70" s="5"/>
    </row>
    <row r="71" spans="1:33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4"/>
      <c r="W71" s="4"/>
      <c r="X71" s="4"/>
      <c r="Y71" s="4"/>
      <c r="Z71" s="4"/>
      <c r="AA71" s="4"/>
      <c r="AB71" s="4"/>
      <c r="AC71" s="5"/>
      <c r="AD71" s="5"/>
      <c r="AE71" s="5"/>
      <c r="AF71" s="5"/>
      <c r="AG71" s="5"/>
    </row>
    <row r="72" spans="1:33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4"/>
      <c r="W72" s="4"/>
      <c r="X72" s="4"/>
      <c r="Y72" s="4"/>
      <c r="Z72" s="4"/>
      <c r="AA72" s="4"/>
      <c r="AB72" s="4"/>
      <c r="AC72" s="5"/>
      <c r="AD72" s="5"/>
      <c r="AE72" s="5"/>
      <c r="AF72" s="5"/>
      <c r="AG72" s="5"/>
    </row>
    <row r="73" spans="1:33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4"/>
      <c r="W73" s="4"/>
      <c r="X73" s="4"/>
      <c r="Y73" s="4"/>
      <c r="Z73" s="4"/>
      <c r="AA73" s="4"/>
      <c r="AB73" s="4"/>
      <c r="AC73" s="5"/>
      <c r="AD73" s="5"/>
      <c r="AE73" s="5"/>
      <c r="AF73" s="5"/>
      <c r="AG73" s="5"/>
    </row>
    <row r="74" spans="1:33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4"/>
      <c r="W74" s="4"/>
      <c r="X74" s="4"/>
      <c r="Y74" s="4"/>
      <c r="Z74" s="4"/>
      <c r="AA74" s="4"/>
      <c r="AB74" s="4"/>
      <c r="AC74" s="5"/>
      <c r="AD74" s="5"/>
      <c r="AE74" s="5"/>
      <c r="AF74" s="5"/>
      <c r="AG74" s="5"/>
    </row>
    <row r="75" spans="1:33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4"/>
      <c r="W75" s="4"/>
      <c r="X75" s="4"/>
      <c r="Y75" s="4"/>
      <c r="Z75" s="4"/>
      <c r="AA75" s="4"/>
      <c r="AB75" s="4"/>
      <c r="AC75" s="5"/>
      <c r="AD75" s="5"/>
      <c r="AE75" s="5"/>
      <c r="AF75" s="5"/>
      <c r="AG75" s="5"/>
    </row>
    <row r="76" spans="1:33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4"/>
      <c r="W76" s="4"/>
      <c r="X76" s="4"/>
      <c r="Y76" s="4"/>
      <c r="Z76" s="4"/>
      <c r="AA76" s="4"/>
      <c r="AB76" s="4"/>
      <c r="AC76" s="5"/>
      <c r="AD76" s="5"/>
      <c r="AE76" s="5"/>
      <c r="AF76" s="5"/>
      <c r="AG76" s="5"/>
    </row>
    <row r="77" spans="1:33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4"/>
      <c r="W77" s="4"/>
      <c r="X77" s="4"/>
      <c r="Y77" s="4"/>
      <c r="Z77" s="4"/>
      <c r="AA77" s="4"/>
      <c r="AB77" s="4"/>
      <c r="AC77" s="5"/>
      <c r="AD77" s="5"/>
      <c r="AE77" s="5"/>
      <c r="AF77" s="5"/>
      <c r="AG77" s="5"/>
    </row>
    <row r="78" spans="1:33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4"/>
      <c r="W78" s="4"/>
      <c r="X78" s="4"/>
      <c r="Y78" s="4"/>
      <c r="Z78" s="4"/>
      <c r="AA78" s="4"/>
      <c r="AB78" s="4"/>
      <c r="AC78" s="5"/>
      <c r="AD78" s="5"/>
      <c r="AE78" s="5"/>
      <c r="AF78" s="5"/>
      <c r="AG78" s="5"/>
    </row>
    <row r="79" spans="1:33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4"/>
      <c r="W79" s="4"/>
      <c r="X79" s="4"/>
      <c r="Y79" s="4"/>
      <c r="Z79" s="4"/>
      <c r="AA79" s="4"/>
      <c r="AB79" s="4"/>
      <c r="AC79" s="5"/>
      <c r="AD79" s="5"/>
      <c r="AE79" s="5"/>
      <c r="AF79" s="5"/>
      <c r="AG79" s="5"/>
    </row>
    <row r="80" spans="1:33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4"/>
      <c r="W80" s="4"/>
      <c r="X80" s="4"/>
      <c r="Y80" s="4"/>
      <c r="Z80" s="4"/>
      <c r="AA80" s="4"/>
      <c r="AB80" s="4"/>
      <c r="AC80" s="5"/>
      <c r="AD80" s="5"/>
      <c r="AE80" s="5"/>
      <c r="AF80" s="5"/>
      <c r="AG80" s="5"/>
    </row>
    <row r="81" spans="1:33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4"/>
      <c r="W81" s="4"/>
      <c r="X81" s="4"/>
      <c r="Y81" s="4"/>
      <c r="Z81" s="4"/>
      <c r="AA81" s="4"/>
      <c r="AB81" s="4"/>
      <c r="AC81" s="5"/>
      <c r="AD81" s="5"/>
      <c r="AE81" s="5"/>
      <c r="AF81" s="5"/>
      <c r="AG81" s="5"/>
    </row>
    <row r="82" spans="1:33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4"/>
      <c r="W82" s="4"/>
      <c r="X82" s="4"/>
      <c r="Y82" s="4"/>
      <c r="Z82" s="4"/>
      <c r="AA82" s="4"/>
      <c r="AB82" s="4"/>
      <c r="AC82" s="5"/>
      <c r="AD82" s="5"/>
      <c r="AE82" s="5"/>
      <c r="AF82" s="5"/>
      <c r="AG82" s="5"/>
    </row>
    <row r="83" spans="1:33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4"/>
      <c r="W83" s="4"/>
      <c r="X83" s="4"/>
      <c r="Y83" s="4"/>
      <c r="Z83" s="4"/>
      <c r="AA83" s="4"/>
      <c r="AB83" s="4"/>
      <c r="AC83" s="5"/>
      <c r="AD83" s="5"/>
      <c r="AE83" s="5"/>
      <c r="AF83" s="5"/>
      <c r="AG83" s="5"/>
    </row>
    <row r="84" spans="1:33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4"/>
      <c r="W84" s="4"/>
      <c r="X84" s="4"/>
      <c r="Y84" s="4"/>
      <c r="Z84" s="4"/>
      <c r="AA84" s="4"/>
      <c r="AB84" s="4"/>
      <c r="AC84" s="5"/>
      <c r="AD84" s="5"/>
      <c r="AE84" s="5"/>
      <c r="AF84" s="5"/>
      <c r="AG84" s="5"/>
    </row>
    <row r="85" spans="1:33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4"/>
      <c r="W85" s="4"/>
      <c r="X85" s="4"/>
      <c r="Y85" s="4"/>
      <c r="Z85" s="4"/>
      <c r="AA85" s="4"/>
      <c r="AB85" s="4"/>
      <c r="AC85" s="5"/>
      <c r="AD85" s="5"/>
      <c r="AE85" s="5"/>
      <c r="AF85" s="5"/>
      <c r="AG85" s="5"/>
    </row>
    <row r="86" spans="1:33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4"/>
      <c r="W86" s="4"/>
      <c r="X86" s="4"/>
      <c r="Y86" s="4"/>
      <c r="Z86" s="4"/>
      <c r="AA86" s="4"/>
      <c r="AB86" s="4"/>
      <c r="AC86" s="5"/>
      <c r="AD86" s="5"/>
      <c r="AE86" s="5"/>
      <c r="AF86" s="5"/>
      <c r="AG86" s="5"/>
    </row>
    <row r="87" spans="1:33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4"/>
      <c r="W87" s="4"/>
      <c r="X87" s="4"/>
      <c r="Y87" s="4"/>
      <c r="Z87" s="4"/>
      <c r="AA87" s="4"/>
      <c r="AB87" s="4"/>
      <c r="AC87" s="5"/>
      <c r="AD87" s="5"/>
      <c r="AE87" s="5"/>
      <c r="AF87" s="5"/>
      <c r="AG87" s="5"/>
    </row>
    <row r="88" spans="1:33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4"/>
      <c r="W88" s="4"/>
      <c r="X88" s="4"/>
      <c r="Y88" s="4"/>
      <c r="Z88" s="4"/>
      <c r="AA88" s="4"/>
      <c r="AB88" s="4"/>
      <c r="AC88" s="5"/>
      <c r="AD88" s="5"/>
      <c r="AE88" s="5"/>
      <c r="AF88" s="5"/>
      <c r="AG88" s="5"/>
    </row>
    <row r="89" spans="1:33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4"/>
      <c r="W89" s="4"/>
      <c r="X89" s="4"/>
      <c r="Y89" s="4"/>
      <c r="Z89" s="4"/>
      <c r="AA89" s="4"/>
      <c r="AB89" s="4"/>
      <c r="AC89" s="5"/>
      <c r="AD89" s="5"/>
      <c r="AE89" s="5"/>
      <c r="AF89" s="5"/>
      <c r="AG89" s="5"/>
    </row>
    <row r="90" spans="1:33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4"/>
      <c r="W90" s="4"/>
      <c r="X90" s="4"/>
      <c r="Y90" s="4"/>
      <c r="Z90" s="4"/>
      <c r="AA90" s="4"/>
      <c r="AB90" s="4"/>
      <c r="AC90" s="5"/>
      <c r="AD90" s="5"/>
      <c r="AE90" s="5"/>
      <c r="AF90" s="5"/>
      <c r="AG90" s="5"/>
    </row>
    <row r="91" spans="1:33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4"/>
      <c r="W91" s="4"/>
      <c r="X91" s="4"/>
      <c r="Y91" s="4"/>
      <c r="Z91" s="4"/>
      <c r="AA91" s="4"/>
      <c r="AB91" s="4"/>
      <c r="AC91" s="5"/>
      <c r="AD91" s="5"/>
      <c r="AE91" s="5"/>
      <c r="AF91" s="5"/>
      <c r="AG91" s="5"/>
    </row>
    <row r="92" spans="1:33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4"/>
      <c r="W92" s="4"/>
      <c r="X92" s="4"/>
      <c r="Y92" s="4"/>
      <c r="Z92" s="4"/>
      <c r="AA92" s="4"/>
      <c r="AB92" s="4"/>
      <c r="AC92" s="5"/>
      <c r="AD92" s="5"/>
      <c r="AE92" s="5"/>
      <c r="AF92" s="5"/>
      <c r="AG92" s="5"/>
    </row>
    <row r="93" spans="1:33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4"/>
      <c r="W93" s="4"/>
      <c r="X93" s="4"/>
      <c r="Y93" s="4"/>
      <c r="Z93" s="4"/>
      <c r="AA93" s="4"/>
      <c r="AB93" s="4"/>
      <c r="AC93" s="5"/>
      <c r="AD93" s="5"/>
      <c r="AE93" s="5"/>
      <c r="AF93" s="5"/>
      <c r="AG93" s="5"/>
    </row>
    <row r="94" spans="1:33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4"/>
      <c r="W94" s="4"/>
      <c r="X94" s="4"/>
      <c r="Y94" s="4"/>
      <c r="Z94" s="4"/>
      <c r="AA94" s="4"/>
      <c r="AB94" s="4"/>
      <c r="AC94" s="5"/>
      <c r="AD94" s="5"/>
      <c r="AE94" s="5"/>
      <c r="AF94" s="5"/>
      <c r="AG94" s="5"/>
    </row>
    <row r="95" spans="1:33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4"/>
      <c r="W95" s="4"/>
      <c r="X95" s="4"/>
      <c r="Y95" s="4"/>
      <c r="Z95" s="4"/>
      <c r="AA95" s="4"/>
      <c r="AB95" s="4"/>
      <c r="AC95" s="5"/>
      <c r="AD95" s="5"/>
      <c r="AE95" s="5"/>
      <c r="AF95" s="5"/>
      <c r="AG95" s="5"/>
    </row>
    <row r="96" spans="1:33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4"/>
      <c r="W96" s="4"/>
      <c r="X96" s="4"/>
      <c r="Y96" s="4"/>
      <c r="Z96" s="4"/>
      <c r="AA96" s="4"/>
      <c r="AB96" s="4"/>
      <c r="AC96" s="5"/>
      <c r="AD96" s="5"/>
      <c r="AE96" s="5"/>
      <c r="AF96" s="5"/>
      <c r="AG96" s="5"/>
    </row>
    <row r="97" spans="1:33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4"/>
      <c r="W97" s="4"/>
      <c r="X97" s="4"/>
      <c r="Y97" s="4"/>
      <c r="Z97" s="4"/>
      <c r="AA97" s="4"/>
      <c r="AB97" s="4"/>
      <c r="AC97" s="5"/>
      <c r="AD97" s="5"/>
      <c r="AE97" s="5"/>
      <c r="AF97" s="5"/>
      <c r="AG97" s="5"/>
    </row>
    <row r="98" spans="1:33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4"/>
      <c r="W98" s="4"/>
      <c r="X98" s="4"/>
      <c r="Y98" s="4"/>
      <c r="Z98" s="4"/>
      <c r="AA98" s="4"/>
      <c r="AB98" s="4"/>
      <c r="AC98" s="5"/>
      <c r="AD98" s="5"/>
      <c r="AE98" s="5"/>
      <c r="AF98" s="5"/>
      <c r="AG98" s="5"/>
    </row>
    <row r="99" spans="1:33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4"/>
      <c r="W99" s="4"/>
      <c r="X99" s="4"/>
      <c r="Y99" s="4"/>
      <c r="Z99" s="4"/>
      <c r="AA99" s="4"/>
      <c r="AB99" s="4"/>
      <c r="AC99" s="5"/>
      <c r="AD99" s="5"/>
      <c r="AE99" s="5"/>
      <c r="AF99" s="5"/>
      <c r="AG99" s="5"/>
    </row>
    <row r="100" spans="1:33" x14ac:dyDescent="0.3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4"/>
      <c r="W100" s="4"/>
      <c r="X100" s="4"/>
      <c r="Y100" s="4"/>
      <c r="Z100" s="4"/>
      <c r="AA100" s="4"/>
      <c r="AB100" s="4"/>
      <c r="AC100" s="5"/>
      <c r="AD100" s="5"/>
      <c r="AE100" s="5"/>
      <c r="AF100" s="5"/>
      <c r="AG100" s="5"/>
    </row>
    <row r="101" spans="1:33" x14ac:dyDescent="0.3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4"/>
      <c r="W101" s="4"/>
      <c r="X101" s="4"/>
      <c r="Y101" s="4"/>
      <c r="Z101" s="4"/>
      <c r="AA101" s="4"/>
      <c r="AB101" s="4"/>
      <c r="AC101" s="5"/>
      <c r="AD101" s="5"/>
      <c r="AE101" s="5"/>
      <c r="AF101" s="5"/>
      <c r="AG101" s="5"/>
    </row>
    <row r="102" spans="1:33" x14ac:dyDescent="0.3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4"/>
      <c r="W102" s="4"/>
      <c r="X102" s="4"/>
      <c r="Y102" s="4"/>
      <c r="Z102" s="4"/>
      <c r="AA102" s="4"/>
      <c r="AB102" s="4"/>
      <c r="AC102" s="5"/>
      <c r="AD102" s="5"/>
      <c r="AE102" s="5"/>
      <c r="AF102" s="5"/>
      <c r="AG102" s="5"/>
    </row>
    <row r="103" spans="1:33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4"/>
      <c r="W103" s="4"/>
      <c r="X103" s="4"/>
      <c r="Y103" s="4"/>
      <c r="Z103" s="4"/>
      <c r="AA103" s="4"/>
      <c r="AB103" s="4"/>
      <c r="AC103" s="5"/>
      <c r="AD103" s="5"/>
      <c r="AE103" s="5"/>
      <c r="AF103" s="5"/>
      <c r="AG103" s="5"/>
    </row>
    <row r="104" spans="1:33" x14ac:dyDescent="0.3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4"/>
      <c r="W104" s="4"/>
      <c r="X104" s="4"/>
      <c r="Y104" s="4"/>
      <c r="Z104" s="4"/>
      <c r="AA104" s="4"/>
      <c r="AB104" s="4"/>
      <c r="AC104" s="5"/>
      <c r="AD104" s="5"/>
      <c r="AE104" s="5"/>
      <c r="AF104" s="5"/>
      <c r="AG104" s="5"/>
    </row>
    <row r="105" spans="1:33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4"/>
      <c r="W105" s="4"/>
      <c r="X105" s="4"/>
      <c r="Y105" s="4"/>
      <c r="Z105" s="4"/>
      <c r="AA105" s="4"/>
      <c r="AB105" s="4"/>
      <c r="AC105" s="5"/>
      <c r="AD105" s="5"/>
      <c r="AE105" s="5"/>
      <c r="AF105" s="5"/>
      <c r="AG105" s="5"/>
    </row>
    <row r="106" spans="1:33" x14ac:dyDescent="0.3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4"/>
      <c r="W106" s="4"/>
      <c r="X106" s="4"/>
      <c r="Y106" s="4"/>
      <c r="Z106" s="4"/>
      <c r="AA106" s="4"/>
      <c r="AB106" s="4"/>
      <c r="AC106" s="5"/>
      <c r="AD106" s="5"/>
      <c r="AE106" s="5"/>
      <c r="AF106" s="5"/>
      <c r="AG106" s="5"/>
    </row>
    <row r="107" spans="1:33" x14ac:dyDescent="0.3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4"/>
      <c r="W107" s="4"/>
      <c r="X107" s="4"/>
      <c r="Y107" s="4"/>
      <c r="Z107" s="4"/>
      <c r="AA107" s="4"/>
      <c r="AB107" s="4"/>
      <c r="AC107" s="5"/>
      <c r="AD107" s="5"/>
      <c r="AE107" s="5"/>
      <c r="AF107" s="5"/>
      <c r="AG107" s="5"/>
    </row>
    <row r="108" spans="1:33" x14ac:dyDescent="0.3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4"/>
      <c r="W108" s="4"/>
      <c r="X108" s="4"/>
      <c r="Y108" s="4"/>
      <c r="Z108" s="4"/>
      <c r="AA108" s="4"/>
      <c r="AB108" s="4"/>
      <c r="AC108" s="5"/>
      <c r="AD108" s="5"/>
      <c r="AE108" s="5"/>
      <c r="AF108" s="5"/>
      <c r="AG108" s="5"/>
    </row>
    <row r="109" spans="1:33" x14ac:dyDescent="0.3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4"/>
      <c r="W109" s="4"/>
      <c r="X109" s="4"/>
      <c r="Y109" s="4"/>
      <c r="Z109" s="4"/>
      <c r="AA109" s="4"/>
      <c r="AB109" s="4"/>
      <c r="AC109" s="5"/>
      <c r="AD109" s="5"/>
      <c r="AE109" s="5"/>
      <c r="AF109" s="5"/>
      <c r="AG109" s="5"/>
    </row>
    <row r="110" spans="1:33" x14ac:dyDescent="0.3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4"/>
      <c r="W110" s="4"/>
      <c r="X110" s="4"/>
      <c r="Y110" s="4"/>
      <c r="Z110" s="4"/>
      <c r="AA110" s="4"/>
      <c r="AB110" s="4"/>
      <c r="AC110" s="5"/>
      <c r="AD110" s="5"/>
      <c r="AE110" s="5"/>
      <c r="AF110" s="5"/>
      <c r="AG110" s="5"/>
    </row>
    <row r="111" spans="1:33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4"/>
      <c r="W111" s="4"/>
      <c r="X111" s="4"/>
      <c r="Y111" s="4"/>
      <c r="Z111" s="4"/>
      <c r="AA111" s="4"/>
      <c r="AB111" s="4"/>
      <c r="AC111" s="5"/>
      <c r="AD111" s="5"/>
      <c r="AE111" s="5"/>
      <c r="AF111" s="5"/>
      <c r="AG111" s="5"/>
    </row>
    <row r="112" spans="1:33" x14ac:dyDescent="0.3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4"/>
      <c r="W112" s="4"/>
      <c r="X112" s="4"/>
      <c r="Y112" s="4"/>
      <c r="Z112" s="4"/>
      <c r="AA112" s="4"/>
      <c r="AB112" s="4"/>
      <c r="AC112" s="5"/>
      <c r="AD112" s="5"/>
      <c r="AE112" s="5"/>
      <c r="AF112" s="5"/>
      <c r="AG112" s="5"/>
    </row>
    <row r="113" spans="1:33" x14ac:dyDescent="0.3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4"/>
      <c r="W113" s="4"/>
      <c r="X113" s="4"/>
      <c r="Y113" s="4"/>
      <c r="Z113" s="4"/>
      <c r="AA113" s="4"/>
      <c r="AB113" s="4"/>
      <c r="AC113" s="5"/>
      <c r="AD113" s="5"/>
      <c r="AE113" s="5"/>
      <c r="AF113" s="5"/>
      <c r="AG113" s="5"/>
    </row>
    <row r="114" spans="1:33" x14ac:dyDescent="0.3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4"/>
      <c r="W114" s="4"/>
      <c r="X114" s="4"/>
      <c r="Y114" s="4"/>
      <c r="Z114" s="4"/>
      <c r="AA114" s="4"/>
      <c r="AB114" s="4"/>
      <c r="AC114" s="5"/>
      <c r="AD114" s="5"/>
      <c r="AE114" s="5"/>
      <c r="AF114" s="5"/>
      <c r="AG114" s="5"/>
    </row>
    <row r="115" spans="1:33" x14ac:dyDescent="0.3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4"/>
      <c r="W115" s="4"/>
      <c r="X115" s="4"/>
      <c r="Y115" s="4"/>
      <c r="Z115" s="4"/>
      <c r="AA115" s="4"/>
      <c r="AB115" s="4"/>
      <c r="AC115" s="5"/>
      <c r="AD115" s="5"/>
      <c r="AE115" s="5"/>
      <c r="AF115" s="5"/>
      <c r="AG115" s="5"/>
    </row>
    <row r="116" spans="1:33" x14ac:dyDescent="0.3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4"/>
      <c r="W116" s="4"/>
      <c r="X116" s="4"/>
      <c r="Y116" s="4"/>
      <c r="Z116" s="4"/>
      <c r="AA116" s="4"/>
      <c r="AB116" s="4"/>
      <c r="AC116" s="5"/>
      <c r="AD116" s="5"/>
      <c r="AE116" s="5"/>
      <c r="AF116" s="5"/>
      <c r="AG116" s="5"/>
    </row>
    <row r="117" spans="1:33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4"/>
      <c r="W117" s="4"/>
      <c r="X117" s="4"/>
      <c r="Y117" s="4"/>
      <c r="Z117" s="4"/>
      <c r="AA117" s="4"/>
      <c r="AB117" s="4"/>
      <c r="AC117" s="5"/>
      <c r="AD117" s="5"/>
      <c r="AE117" s="5"/>
      <c r="AF117" s="5"/>
      <c r="AG117" s="5"/>
    </row>
    <row r="118" spans="1:33" x14ac:dyDescent="0.3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4"/>
      <c r="W118" s="4"/>
      <c r="X118" s="4"/>
      <c r="Y118" s="4"/>
      <c r="Z118" s="4"/>
      <c r="AA118" s="4"/>
      <c r="AB118" s="4"/>
      <c r="AC118" s="5"/>
      <c r="AD118" s="5"/>
      <c r="AE118" s="5"/>
      <c r="AF118" s="5"/>
      <c r="AG118" s="5"/>
    </row>
    <row r="119" spans="1:33" x14ac:dyDescent="0.3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4"/>
      <c r="W119" s="4"/>
      <c r="X119" s="4"/>
      <c r="Y119" s="4"/>
      <c r="Z119" s="4"/>
      <c r="AA119" s="4"/>
      <c r="AB119" s="4"/>
      <c r="AC119" s="5"/>
      <c r="AD119" s="5"/>
      <c r="AE119" s="5"/>
      <c r="AF119" s="5"/>
      <c r="AG119" s="5"/>
    </row>
    <row r="120" spans="1:33" x14ac:dyDescent="0.3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4"/>
      <c r="W120" s="4"/>
      <c r="X120" s="4"/>
      <c r="Y120" s="4"/>
      <c r="Z120" s="4"/>
      <c r="AA120" s="4"/>
      <c r="AB120" s="4"/>
      <c r="AC120" s="5"/>
      <c r="AD120" s="5"/>
      <c r="AE120" s="5"/>
      <c r="AF120" s="5"/>
      <c r="AG120" s="5"/>
    </row>
    <row r="121" spans="1:33" x14ac:dyDescent="0.3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4"/>
      <c r="W121" s="4"/>
      <c r="X121" s="4"/>
      <c r="Y121" s="4"/>
      <c r="Z121" s="4"/>
      <c r="AA121" s="4"/>
      <c r="AB121" s="4"/>
      <c r="AC121" s="5"/>
      <c r="AD121" s="5"/>
      <c r="AE121" s="5"/>
      <c r="AF121" s="5"/>
      <c r="AG121" s="5"/>
    </row>
    <row r="122" spans="1:33" x14ac:dyDescent="0.3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4"/>
      <c r="W122" s="4"/>
      <c r="X122" s="4"/>
      <c r="Y122" s="4"/>
      <c r="Z122" s="4"/>
      <c r="AA122" s="4"/>
      <c r="AB122" s="4"/>
      <c r="AC122" s="5"/>
      <c r="AD122" s="5"/>
      <c r="AE122" s="5"/>
      <c r="AF122" s="5"/>
      <c r="AG122" s="5"/>
    </row>
    <row r="123" spans="1:33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4"/>
      <c r="W123" s="4"/>
      <c r="X123" s="4"/>
      <c r="Y123" s="4"/>
      <c r="Z123" s="4"/>
      <c r="AA123" s="4"/>
      <c r="AB123" s="4"/>
      <c r="AC123" s="5"/>
      <c r="AD123" s="5"/>
      <c r="AE123" s="5"/>
      <c r="AF123" s="5"/>
      <c r="AG123" s="5"/>
    </row>
    <row r="124" spans="1:33" x14ac:dyDescent="0.3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4"/>
      <c r="W124" s="4"/>
      <c r="X124" s="4"/>
      <c r="Y124" s="4"/>
      <c r="Z124" s="4"/>
      <c r="AA124" s="4"/>
      <c r="AB124" s="4"/>
      <c r="AC124" s="5"/>
      <c r="AD124" s="5"/>
      <c r="AE124" s="5"/>
      <c r="AF124" s="5"/>
      <c r="AG124" s="5"/>
    </row>
    <row r="125" spans="1:33" x14ac:dyDescent="0.3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4"/>
      <c r="W125" s="4"/>
      <c r="X125" s="4"/>
      <c r="Y125" s="4"/>
      <c r="Z125" s="4"/>
      <c r="AA125" s="4"/>
      <c r="AB125" s="4"/>
      <c r="AC125" s="5"/>
      <c r="AD125" s="5"/>
      <c r="AE125" s="5"/>
      <c r="AF125" s="5"/>
      <c r="AG125" s="5"/>
    </row>
    <row r="126" spans="1:33" x14ac:dyDescent="0.3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4"/>
      <c r="W126" s="4"/>
      <c r="X126" s="4"/>
      <c r="Y126" s="4"/>
      <c r="Z126" s="4"/>
      <c r="AA126" s="4"/>
      <c r="AB126" s="4"/>
      <c r="AC126" s="5"/>
      <c r="AD126" s="5"/>
      <c r="AE126" s="5"/>
      <c r="AF126" s="5"/>
      <c r="AG126" s="5"/>
    </row>
    <row r="127" spans="1:33" x14ac:dyDescent="0.3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4"/>
      <c r="W127" s="4"/>
      <c r="X127" s="4"/>
      <c r="Y127" s="4"/>
      <c r="Z127" s="4"/>
      <c r="AA127" s="4"/>
      <c r="AB127" s="4"/>
      <c r="AC127" s="5"/>
      <c r="AD127" s="5"/>
      <c r="AE127" s="5"/>
      <c r="AF127" s="5"/>
      <c r="AG127" s="5"/>
    </row>
    <row r="128" spans="1:33" x14ac:dyDescent="0.3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4"/>
      <c r="W128" s="4"/>
      <c r="X128" s="4"/>
      <c r="Y128" s="4"/>
      <c r="Z128" s="4"/>
      <c r="AA128" s="4"/>
      <c r="AB128" s="4"/>
      <c r="AC128" s="5"/>
      <c r="AD128" s="5"/>
      <c r="AE128" s="5"/>
      <c r="AF128" s="5"/>
      <c r="AG128" s="5"/>
    </row>
    <row r="129" spans="1:33" x14ac:dyDescent="0.3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4"/>
      <c r="W129" s="4"/>
      <c r="X129" s="4"/>
      <c r="Y129" s="4"/>
      <c r="Z129" s="4"/>
      <c r="AA129" s="4"/>
      <c r="AB129" s="4"/>
      <c r="AC129" s="5"/>
      <c r="AD129" s="5"/>
      <c r="AE129" s="5"/>
      <c r="AF129" s="5"/>
      <c r="AG129" s="5"/>
    </row>
    <row r="130" spans="1:33" x14ac:dyDescent="0.3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4"/>
      <c r="W130" s="4"/>
      <c r="X130" s="4"/>
      <c r="Y130" s="4"/>
      <c r="Z130" s="4"/>
      <c r="AA130" s="4"/>
      <c r="AB130" s="4"/>
      <c r="AC130" s="5"/>
      <c r="AD130" s="5"/>
      <c r="AE130" s="5"/>
      <c r="AF130" s="5"/>
      <c r="AG130" s="5"/>
    </row>
    <row r="131" spans="1:33" x14ac:dyDescent="0.3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4"/>
      <c r="W131" s="4"/>
      <c r="X131" s="4"/>
      <c r="Y131" s="4"/>
      <c r="Z131" s="4"/>
      <c r="AA131" s="4"/>
      <c r="AB131" s="4"/>
      <c r="AC131" s="5"/>
      <c r="AD131" s="5"/>
      <c r="AE131" s="5"/>
      <c r="AF131" s="5"/>
      <c r="AG131" s="5"/>
    </row>
    <row r="132" spans="1:33" x14ac:dyDescent="0.3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4"/>
      <c r="W132" s="4"/>
      <c r="X132" s="4"/>
      <c r="Y132" s="4"/>
      <c r="Z132" s="4"/>
      <c r="AA132" s="4"/>
      <c r="AB132" s="4"/>
      <c r="AC132" s="5"/>
      <c r="AD132" s="5"/>
      <c r="AE132" s="5"/>
      <c r="AF132" s="5"/>
      <c r="AG132" s="5"/>
    </row>
    <row r="133" spans="1:33" x14ac:dyDescent="0.3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4"/>
      <c r="W133" s="4"/>
      <c r="X133" s="4"/>
      <c r="Y133" s="4"/>
      <c r="Z133" s="4"/>
      <c r="AA133" s="4"/>
      <c r="AB133" s="4"/>
      <c r="AC133" s="5"/>
      <c r="AD133" s="5"/>
      <c r="AE133" s="5"/>
      <c r="AF133" s="5"/>
      <c r="AG133" s="5"/>
    </row>
    <row r="134" spans="1:33" x14ac:dyDescent="0.3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4"/>
      <c r="W134" s="4"/>
      <c r="X134" s="4"/>
      <c r="Y134" s="4"/>
      <c r="Z134" s="4"/>
      <c r="AA134" s="4"/>
      <c r="AB134" s="4"/>
      <c r="AC134" s="5"/>
      <c r="AD134" s="5"/>
      <c r="AE134" s="5"/>
      <c r="AF134" s="5"/>
      <c r="AG134" s="5"/>
    </row>
    <row r="135" spans="1:33" x14ac:dyDescent="0.3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4"/>
      <c r="W135" s="4"/>
      <c r="X135" s="4"/>
      <c r="Y135" s="4"/>
      <c r="Z135" s="4"/>
      <c r="AA135" s="4"/>
      <c r="AB135" s="4"/>
      <c r="AC135" s="5"/>
      <c r="AD135" s="5"/>
      <c r="AE135" s="5"/>
      <c r="AF135" s="5"/>
      <c r="AG135" s="5"/>
    </row>
    <row r="136" spans="1:33" x14ac:dyDescent="0.3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4"/>
      <c r="W136" s="4"/>
      <c r="X136" s="4"/>
      <c r="Y136" s="4"/>
      <c r="Z136" s="4"/>
      <c r="AA136" s="4"/>
      <c r="AB136" s="4"/>
      <c r="AC136" s="5"/>
      <c r="AD136" s="5"/>
      <c r="AE136" s="5"/>
      <c r="AF136" s="5"/>
      <c r="AG136" s="5"/>
    </row>
    <row r="137" spans="1:33" x14ac:dyDescent="0.3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4"/>
      <c r="W137" s="4"/>
      <c r="X137" s="4"/>
      <c r="Y137" s="4"/>
      <c r="Z137" s="4"/>
      <c r="AA137" s="4"/>
      <c r="AB137" s="4"/>
      <c r="AC137" s="5"/>
      <c r="AD137" s="5"/>
      <c r="AE137" s="5"/>
      <c r="AF137" s="5"/>
      <c r="AG137" s="5"/>
    </row>
    <row r="138" spans="1:33" x14ac:dyDescent="0.3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4"/>
      <c r="W138" s="4"/>
      <c r="X138" s="4"/>
      <c r="Y138" s="4"/>
      <c r="Z138" s="4"/>
      <c r="AA138" s="4"/>
      <c r="AB138" s="4"/>
      <c r="AC138" s="5"/>
      <c r="AD138" s="5"/>
      <c r="AE138" s="5"/>
      <c r="AF138" s="5"/>
      <c r="AG138" s="5"/>
    </row>
    <row r="139" spans="1:33" x14ac:dyDescent="0.3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4"/>
      <c r="W139" s="4"/>
      <c r="X139" s="4"/>
      <c r="Y139" s="4"/>
      <c r="Z139" s="4"/>
      <c r="AA139" s="4"/>
      <c r="AB139" s="4"/>
      <c r="AC139" s="5"/>
      <c r="AD139" s="5"/>
      <c r="AE139" s="5"/>
      <c r="AF139" s="5"/>
      <c r="AG139" s="5"/>
    </row>
    <row r="140" spans="1:33" x14ac:dyDescent="0.3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4"/>
      <c r="W140" s="4"/>
      <c r="X140" s="4"/>
      <c r="Y140" s="4"/>
      <c r="Z140" s="4"/>
      <c r="AA140" s="4"/>
      <c r="AB140" s="4"/>
      <c r="AC140" s="5"/>
      <c r="AD140" s="5"/>
      <c r="AE140" s="5"/>
      <c r="AF140" s="5"/>
      <c r="AG140" s="5"/>
    </row>
    <row r="141" spans="1:33" x14ac:dyDescent="0.3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4"/>
      <c r="W141" s="4"/>
      <c r="X141" s="4"/>
      <c r="Y141" s="4"/>
      <c r="Z141" s="4"/>
      <c r="AA141" s="4"/>
      <c r="AB141" s="4"/>
      <c r="AC141" s="5"/>
      <c r="AD141" s="5"/>
      <c r="AE141" s="5"/>
      <c r="AF141" s="5"/>
      <c r="AG141" s="5"/>
    </row>
    <row r="142" spans="1:33" x14ac:dyDescent="0.3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4"/>
      <c r="W142" s="4"/>
      <c r="X142" s="4"/>
      <c r="Y142" s="4"/>
      <c r="Z142" s="4"/>
      <c r="AA142" s="4"/>
      <c r="AB142" s="4"/>
      <c r="AC142" s="5"/>
      <c r="AD142" s="5"/>
      <c r="AE142" s="5"/>
      <c r="AF142" s="5"/>
      <c r="AG142" s="5"/>
    </row>
    <row r="143" spans="1:33" x14ac:dyDescent="0.3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4"/>
      <c r="W143" s="4"/>
      <c r="X143" s="4"/>
      <c r="Y143" s="4"/>
      <c r="Z143" s="4"/>
      <c r="AA143" s="4"/>
      <c r="AB143" s="4"/>
      <c r="AC143" s="5"/>
      <c r="AD143" s="5"/>
      <c r="AE143" s="5"/>
      <c r="AF143" s="5"/>
      <c r="AG143" s="5"/>
    </row>
    <row r="144" spans="1:33" x14ac:dyDescent="0.3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4"/>
      <c r="W144" s="4"/>
      <c r="X144" s="4"/>
      <c r="Y144" s="4"/>
      <c r="Z144" s="4"/>
      <c r="AA144" s="4"/>
      <c r="AB144" s="4"/>
      <c r="AC144" s="5"/>
      <c r="AD144" s="5"/>
      <c r="AE144" s="5"/>
      <c r="AF144" s="5"/>
      <c r="AG144" s="5"/>
    </row>
    <row r="145" spans="1:33" x14ac:dyDescent="0.3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4"/>
      <c r="W145" s="4"/>
      <c r="X145" s="4"/>
      <c r="Y145" s="4"/>
      <c r="Z145" s="4"/>
      <c r="AA145" s="4"/>
      <c r="AB145" s="4"/>
      <c r="AC145" s="5"/>
      <c r="AD145" s="5"/>
      <c r="AE145" s="5"/>
      <c r="AF145" s="5"/>
      <c r="AG145" s="5"/>
    </row>
    <row r="146" spans="1:33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4"/>
      <c r="W146" s="4"/>
      <c r="X146" s="4"/>
      <c r="Y146" s="4"/>
      <c r="Z146" s="4"/>
      <c r="AA146" s="4"/>
      <c r="AB146" s="4"/>
      <c r="AC146" s="5"/>
      <c r="AD146" s="5"/>
      <c r="AE146" s="5"/>
      <c r="AF146" s="5"/>
      <c r="AG146" s="5"/>
    </row>
    <row r="147" spans="1:33" x14ac:dyDescent="0.3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4"/>
      <c r="W147" s="4"/>
      <c r="X147" s="4"/>
      <c r="Y147" s="4"/>
      <c r="Z147" s="4"/>
      <c r="AA147" s="4"/>
      <c r="AB147" s="4"/>
      <c r="AC147" s="5"/>
      <c r="AD147" s="5"/>
      <c r="AE147" s="5"/>
      <c r="AF147" s="5"/>
      <c r="AG147" s="5"/>
    </row>
    <row r="148" spans="1:33" x14ac:dyDescent="0.3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4"/>
      <c r="W148" s="4"/>
      <c r="X148" s="4"/>
      <c r="Y148" s="4"/>
      <c r="Z148" s="4"/>
      <c r="AA148" s="4"/>
      <c r="AB148" s="4"/>
      <c r="AC148" s="5"/>
      <c r="AD148" s="5"/>
      <c r="AE148" s="5"/>
      <c r="AF148" s="5"/>
      <c r="AG148" s="5"/>
    </row>
    <row r="149" spans="1:33" x14ac:dyDescent="0.3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4"/>
      <c r="W149" s="4"/>
      <c r="X149" s="4"/>
      <c r="Y149" s="4"/>
      <c r="Z149" s="4"/>
      <c r="AA149" s="4"/>
      <c r="AB149" s="4"/>
      <c r="AC149" s="5"/>
      <c r="AD149" s="5"/>
      <c r="AE149" s="5"/>
      <c r="AF149" s="5"/>
      <c r="AG149" s="5"/>
    </row>
    <row r="150" spans="1:33" x14ac:dyDescent="0.3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4"/>
      <c r="W150" s="4"/>
      <c r="X150" s="4"/>
      <c r="Y150" s="4"/>
      <c r="Z150" s="4"/>
      <c r="AA150" s="4"/>
      <c r="AB150" s="4"/>
      <c r="AC150" s="5"/>
      <c r="AD150" s="5"/>
      <c r="AE150" s="5"/>
      <c r="AF150" s="5"/>
      <c r="AG150" s="5"/>
    </row>
    <row r="151" spans="1:33" x14ac:dyDescent="0.3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4"/>
      <c r="W151" s="4"/>
      <c r="X151" s="4"/>
      <c r="Y151" s="4"/>
      <c r="Z151" s="4"/>
      <c r="AA151" s="4"/>
      <c r="AB151" s="4"/>
      <c r="AC151" s="5"/>
      <c r="AD151" s="5"/>
      <c r="AE151" s="5"/>
      <c r="AF151" s="5"/>
      <c r="AG151" s="5"/>
    </row>
    <row r="152" spans="1:33" x14ac:dyDescent="0.3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4"/>
      <c r="W152" s="4"/>
      <c r="X152" s="4"/>
      <c r="Y152" s="4"/>
      <c r="Z152" s="4"/>
      <c r="AA152" s="4"/>
      <c r="AB152" s="4"/>
      <c r="AC152" s="5"/>
      <c r="AD152" s="5"/>
      <c r="AE152" s="5"/>
      <c r="AF152" s="5"/>
      <c r="AG152" s="5"/>
    </row>
  </sheetData>
  <sheetProtection algorithmName="SHA-512" hashValue="6DRdocRgtn+VC3yLrvRC+EtfZPojEghvaci7Hz9K8Tsxq0t8dREVHFBH27+xTplMY67PIb+R2TPf8IH43UAWeg==" saltValue="px9UI6rY22M0RV3q3jEUSw==" spinCount="100000" sheet="1" objects="1" scenarios="1"/>
  <mergeCells count="17">
    <mergeCell ref="G6:G7"/>
    <mergeCell ref="H6:H7"/>
    <mergeCell ref="G9:G11"/>
    <mergeCell ref="H9:H11"/>
    <mergeCell ref="G13:G15"/>
    <mergeCell ref="H13:H15"/>
    <mergeCell ref="J10:K10"/>
    <mergeCell ref="J11:K11"/>
    <mergeCell ref="J8:K8"/>
    <mergeCell ref="G24:G26"/>
    <mergeCell ref="H24:H26"/>
    <mergeCell ref="G17:G18"/>
    <mergeCell ref="H17:H18"/>
    <mergeCell ref="G20:G22"/>
    <mergeCell ref="H20:H22"/>
    <mergeCell ref="J22:K23"/>
    <mergeCell ref="J9:K9"/>
  </mergeCells>
  <conditionalFormatting sqref="K6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ignoredErrors>
    <ignoredError sqref="K24:K25 K6 H6:H2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16</xdr:row>
                    <xdr:rowOff>152400</xdr:rowOff>
                  </from>
                  <to>
                    <xdr:col>10</xdr:col>
                    <xdr:colOff>952500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22860</xdr:colOff>
                    <xdr:row>12</xdr:row>
                    <xdr:rowOff>175260</xdr:rowOff>
                  </from>
                  <to>
                    <xdr:col>10</xdr:col>
                    <xdr:colOff>929640</xdr:colOff>
                    <xdr:row>15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Score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Burrello</dc:creator>
  <cp:lastModifiedBy>alessio Burrello</cp:lastModifiedBy>
  <dcterms:created xsi:type="dcterms:W3CDTF">2019-11-28T16:09:24Z</dcterms:created>
  <dcterms:modified xsi:type="dcterms:W3CDTF">2020-01-08T20:36:23Z</dcterms:modified>
</cp:coreProperties>
</file>